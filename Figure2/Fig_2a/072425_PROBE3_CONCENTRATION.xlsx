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UF\StorDNA\Printing\"/>
    </mc:Choice>
  </mc:AlternateContent>
  <xr:revisionPtr revIDLastSave="0" documentId="13_ncr:1_{6789E598-6FD9-49BA-8601-E00576B8BB7E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R1" sheetId="1" r:id="rId1"/>
    <sheet name="R2" sheetId="2" r:id="rId2"/>
    <sheet name="R3" sheetId="3" r:id="rId3"/>
    <sheet name="Results" sheetId="4" r:id="rId4"/>
    <sheet name="Sheet2" sheetId="5" r:id="rId5"/>
    <sheet name="plo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/>
  <c r="B19" i="1"/>
  <c r="L21" i="5"/>
  <c r="L20" i="5"/>
  <c r="L15" i="5"/>
  <c r="L19" i="5"/>
  <c r="L18" i="5"/>
  <c r="L16" i="5"/>
  <c r="L14" i="5"/>
  <c r="L13" i="5"/>
  <c r="L11" i="5"/>
  <c r="L10" i="5"/>
  <c r="L9" i="5"/>
  <c r="L8" i="5"/>
  <c r="L6" i="5"/>
  <c r="L5" i="5"/>
  <c r="L4" i="5"/>
  <c r="L3" i="5"/>
  <c r="K21" i="5"/>
  <c r="K20" i="5"/>
  <c r="K19" i="5"/>
  <c r="K18" i="5"/>
  <c r="K16" i="5"/>
  <c r="K15" i="5"/>
  <c r="K14" i="5"/>
  <c r="K13" i="5"/>
  <c r="K11" i="5"/>
  <c r="K10" i="5"/>
  <c r="K9" i="5"/>
  <c r="K8" i="5"/>
  <c r="K6" i="5"/>
  <c r="K5" i="5"/>
  <c r="K4" i="5"/>
  <c r="B36" i="4" l="1"/>
  <c r="B35" i="4"/>
  <c r="B34" i="4"/>
  <c r="B33" i="4"/>
  <c r="B32" i="4"/>
  <c r="B31" i="4"/>
  <c r="B30" i="4"/>
  <c r="B29" i="4"/>
  <c r="B28" i="4"/>
  <c r="B26" i="4"/>
  <c r="B27" i="4"/>
  <c r="B25" i="4"/>
  <c r="B24" i="4"/>
  <c r="B23" i="4"/>
  <c r="B22" i="4"/>
  <c r="B21" i="4"/>
  <c r="B11" i="4"/>
  <c r="C11" i="4"/>
  <c r="D11" i="4"/>
  <c r="E11" i="4"/>
  <c r="F11" i="4"/>
  <c r="G11" i="4"/>
  <c r="B12" i="4"/>
  <c r="C12" i="4"/>
  <c r="D12" i="4"/>
  <c r="E12" i="4"/>
  <c r="F12" i="4"/>
  <c r="G12" i="4"/>
  <c r="B13" i="4"/>
  <c r="C13" i="4"/>
  <c r="D13" i="4"/>
  <c r="E13" i="4"/>
  <c r="F13" i="4"/>
  <c r="G13" i="4"/>
  <c r="B14" i="4"/>
  <c r="C14" i="4"/>
  <c r="D14" i="4"/>
  <c r="E14" i="4"/>
  <c r="F14" i="4"/>
  <c r="G14" i="4"/>
  <c r="B15" i="4"/>
  <c r="C15" i="4"/>
  <c r="D15" i="4"/>
  <c r="E15" i="4"/>
  <c r="F15" i="4"/>
  <c r="G15" i="4"/>
  <c r="B16" i="4"/>
  <c r="C16" i="4"/>
  <c r="D16" i="4"/>
  <c r="E16" i="4"/>
  <c r="F16" i="4"/>
  <c r="G16" i="4"/>
  <c r="B17" i="4"/>
  <c r="C17" i="4"/>
  <c r="D17" i="4"/>
  <c r="E17" i="4"/>
  <c r="F17" i="4"/>
  <c r="G17" i="4"/>
  <c r="C10" i="4"/>
  <c r="D10" i="4"/>
  <c r="E10" i="4"/>
  <c r="F10" i="4"/>
  <c r="G10" i="4"/>
  <c r="B10" i="4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D7" i="5"/>
  <c r="C7" i="5"/>
  <c r="B7" i="5"/>
  <c r="A7" i="5"/>
  <c r="G6" i="5"/>
  <c r="F6" i="5"/>
  <c r="E6" i="5"/>
  <c r="D6" i="5"/>
  <c r="C6" i="5"/>
  <c r="B6" i="5"/>
  <c r="A6" i="5"/>
  <c r="G5" i="5"/>
  <c r="F5" i="5"/>
  <c r="E5" i="5"/>
  <c r="D5" i="5"/>
  <c r="C5" i="5"/>
  <c r="B5" i="5"/>
  <c r="A5" i="5"/>
  <c r="G4" i="5"/>
  <c r="F4" i="5"/>
  <c r="E4" i="5"/>
  <c r="D4" i="5"/>
  <c r="C4" i="5"/>
  <c r="B4" i="5"/>
  <c r="A4" i="5"/>
  <c r="G3" i="5"/>
  <c r="F3" i="5"/>
  <c r="E3" i="5"/>
  <c r="D3" i="5"/>
  <c r="C3" i="5"/>
  <c r="B3" i="5"/>
  <c r="A3" i="5"/>
  <c r="G2" i="5"/>
  <c r="F2" i="5"/>
  <c r="E2" i="5"/>
  <c r="D2" i="5"/>
  <c r="C2" i="5"/>
  <c r="B2" i="5"/>
  <c r="A2" i="5"/>
  <c r="H26" i="3"/>
  <c r="G24" i="3"/>
  <c r="F24" i="3"/>
  <c r="E24" i="3"/>
  <c r="C24" i="3"/>
  <c r="H23" i="3"/>
  <c r="G23" i="3"/>
  <c r="F23" i="3"/>
  <c r="E21" i="3"/>
  <c r="D21" i="3"/>
  <c r="C21" i="3"/>
  <c r="H20" i="3"/>
  <c r="G20" i="3"/>
  <c r="F20" i="3"/>
  <c r="E20" i="3"/>
  <c r="D20" i="3"/>
  <c r="B19" i="3"/>
  <c r="G26" i="3" s="1"/>
  <c r="G26" i="2"/>
  <c r="F26" i="2"/>
  <c r="E26" i="2"/>
  <c r="C26" i="2"/>
  <c r="E23" i="2"/>
  <c r="D23" i="2"/>
  <c r="C23" i="2"/>
  <c r="H22" i="2"/>
  <c r="G22" i="2"/>
  <c r="C20" i="2"/>
  <c r="H19" i="2"/>
  <c r="G19" i="2"/>
  <c r="F19" i="2"/>
  <c r="E19" i="2"/>
  <c r="B19" i="2"/>
  <c r="D26" i="2" s="1"/>
  <c r="C25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D25" i="1"/>
  <c r="E25" i="1"/>
  <c r="F25" i="1"/>
  <c r="G25" i="1"/>
  <c r="H25" i="1"/>
  <c r="C26" i="1"/>
  <c r="D26" i="1"/>
  <c r="E26" i="1"/>
  <c r="F26" i="1"/>
  <c r="G26" i="1"/>
  <c r="H26" i="1"/>
  <c r="D19" i="1"/>
  <c r="E19" i="1"/>
  <c r="F19" i="1"/>
  <c r="G19" i="1"/>
  <c r="H19" i="1"/>
  <c r="C19" i="1"/>
  <c r="A11" i="5" l="1"/>
  <c r="E13" i="5" s="1"/>
  <c r="F13" i="5"/>
  <c r="G13" i="5"/>
  <c r="G18" i="5"/>
  <c r="F14" i="5"/>
  <c r="E11" i="5"/>
  <c r="D11" i="5"/>
  <c r="C11" i="5"/>
  <c r="D14" i="5"/>
  <c r="D13" i="5"/>
  <c r="C13" i="5"/>
  <c r="B13" i="5"/>
  <c r="G12" i="5"/>
  <c r="F15" i="5"/>
  <c r="C16" i="5"/>
  <c r="E12" i="5"/>
  <c r="D16" i="5"/>
  <c r="B16" i="5"/>
  <c r="G15" i="5"/>
  <c r="B11" i="5"/>
  <c r="F12" i="5"/>
  <c r="D12" i="5"/>
  <c r="B14" i="5"/>
  <c r="C17" i="5"/>
  <c r="G16" i="5"/>
  <c r="F16" i="5"/>
  <c r="E16" i="5"/>
  <c r="C14" i="5"/>
  <c r="B17" i="5"/>
  <c r="F11" i="5"/>
  <c r="E14" i="5"/>
  <c r="D17" i="5"/>
  <c r="G11" i="5"/>
  <c r="E17" i="5"/>
  <c r="G14" i="5"/>
  <c r="F17" i="5"/>
  <c r="B12" i="5"/>
  <c r="G17" i="5"/>
  <c r="C12" i="5"/>
  <c r="B15" i="5"/>
  <c r="C15" i="5"/>
  <c r="B18" i="5"/>
  <c r="D15" i="5"/>
  <c r="C18" i="5"/>
  <c r="E15" i="5"/>
  <c r="D18" i="5"/>
  <c r="E18" i="5"/>
  <c r="F18" i="5"/>
  <c r="D24" i="3"/>
  <c r="F21" i="3"/>
  <c r="C25" i="3"/>
  <c r="C22" i="3"/>
  <c r="E25" i="3"/>
  <c r="F25" i="3"/>
  <c r="E22" i="3"/>
  <c r="C26" i="3"/>
  <c r="H24" i="3"/>
  <c r="G21" i="3"/>
  <c r="D25" i="3"/>
  <c r="D22" i="3"/>
  <c r="G25" i="3"/>
  <c r="D19" i="3"/>
  <c r="H25" i="3"/>
  <c r="G22" i="3"/>
  <c r="E26" i="3"/>
  <c r="H21" i="3"/>
  <c r="C19" i="3"/>
  <c r="F22" i="3"/>
  <c r="E19" i="3"/>
  <c r="F19" i="3"/>
  <c r="H22" i="3"/>
  <c r="D26" i="3"/>
  <c r="G19" i="3"/>
  <c r="C23" i="3"/>
  <c r="H19" i="3"/>
  <c r="D23" i="3"/>
  <c r="F26" i="3"/>
  <c r="C20" i="3"/>
  <c r="E23" i="3"/>
  <c r="D20" i="2"/>
  <c r="H26" i="2"/>
  <c r="G23" i="2"/>
  <c r="H23" i="2"/>
  <c r="C24" i="2"/>
  <c r="H20" i="2"/>
  <c r="D24" i="2"/>
  <c r="E24" i="2"/>
  <c r="D21" i="2"/>
  <c r="F24" i="2"/>
  <c r="G24" i="2"/>
  <c r="H24" i="2"/>
  <c r="G21" i="2"/>
  <c r="C25" i="2"/>
  <c r="H21" i="2"/>
  <c r="D25" i="2"/>
  <c r="F23" i="2"/>
  <c r="E20" i="2"/>
  <c r="F20" i="2"/>
  <c r="G20" i="2"/>
  <c r="C21" i="2"/>
  <c r="E21" i="2"/>
  <c r="F21" i="2"/>
  <c r="C22" i="2"/>
  <c r="E25" i="2"/>
  <c r="D22" i="2"/>
  <c r="F25" i="2"/>
  <c r="C19" i="2"/>
  <c r="E22" i="2"/>
  <c r="G25" i="2"/>
  <c r="D19" i="2"/>
  <c r="F22" i="2"/>
  <c r="H25" i="2"/>
</calcChain>
</file>

<file path=xl/sharedStrings.xml><?xml version="1.0" encoding="utf-8"?>
<sst xmlns="http://schemas.openxmlformats.org/spreadsheetml/2006/main" count="65" uniqueCount="29">
  <si>
    <t>User: USER</t>
  </si>
  <si>
    <t>Path: C:\Program Files (x86)\BMG\Omega\User\Data\</t>
  </si>
  <si>
    <t>Test ID: 688</t>
  </si>
  <si>
    <t>Test Name: RFPSCAN</t>
  </si>
  <si>
    <t>Date: 7/24/2025</t>
  </si>
  <si>
    <t>Time: 2:47:33 PM</t>
  </si>
  <si>
    <t>Fluorescence (FI)</t>
  </si>
  <si>
    <t>Raw Data (Average) (544, 590-10)</t>
  </si>
  <si>
    <t>A</t>
  </si>
  <si>
    <t>B</t>
  </si>
  <si>
    <t>C</t>
  </si>
  <si>
    <t>D</t>
  </si>
  <si>
    <t>E</t>
  </si>
  <si>
    <t>F</t>
  </si>
  <si>
    <t>G</t>
  </si>
  <si>
    <t>H</t>
  </si>
  <si>
    <t xml:space="preserve">     Average</t>
  </si>
  <si>
    <t xml:space="preserve">     of all valid scan points used</t>
  </si>
  <si>
    <t>Test ID: 689</t>
  </si>
  <si>
    <t>Time: 2:54:27 PM</t>
  </si>
  <si>
    <t>Test ID: 690</t>
  </si>
  <si>
    <t>Time: 3:00:14 PM</t>
  </si>
  <si>
    <t>Measurement 1</t>
  </si>
  <si>
    <t>Measurement2</t>
  </si>
  <si>
    <t>Measurement3</t>
  </si>
  <si>
    <t>Quencher</t>
  </si>
  <si>
    <t>Flourescent</t>
  </si>
  <si>
    <t>Mean Intensity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</si>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</sst>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26"/>
  <sheetViews>
    <sheetView workbookViewId="0">
      <selection activeCell="L25" sqref="L25"/>
    </sheetView>
  </sheetViews>
  <sheetFormatPr defaultRowHeight="14.4" x14ac:dyDescent="0.3"/>
  <cols>
    <col min="1" max="1" width="4.33203125" customWidth="1"/>
    <col min="15" max="15" width="34.6640625" customWidth="1"/>
  </cols>
  <sheetData>
    <row r="3" spans="1:15" x14ac:dyDescent="0.3">
      <c r="A3" t="s">
        <v>0</v>
      </c>
      <c r="D3" t="s">
        <v>1</v>
      </c>
      <c r="K3" t="s">
        <v>2</v>
      </c>
    </row>
    <row r="4" spans="1:15" x14ac:dyDescent="0.3">
      <c r="A4" t="s">
        <v>3</v>
      </c>
      <c r="I4" t="s">
        <v>4</v>
      </c>
      <c r="K4" t="s">
        <v>5</v>
      </c>
    </row>
    <row r="5" spans="1:15" x14ac:dyDescent="0.3">
      <c r="A5" t="s">
        <v>6</v>
      </c>
    </row>
    <row r="9" spans="1:15" x14ac:dyDescent="0.3">
      <c r="B9" t="s">
        <v>7</v>
      </c>
      <c r="O9" s="11"/>
    </row>
    <row r="10" spans="1:15" x14ac:dyDescent="0.3"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  <c r="O10" s="12" t="s">
        <v>16</v>
      </c>
    </row>
    <row r="11" spans="1:15" x14ac:dyDescent="0.3">
      <c r="A11" s="1" t="s">
        <v>8</v>
      </c>
      <c r="B11" s="2">
        <v>647</v>
      </c>
      <c r="C11" s="3">
        <v>579</v>
      </c>
      <c r="D11" s="3">
        <v>586</v>
      </c>
      <c r="E11" s="3">
        <v>586</v>
      </c>
      <c r="F11" s="3">
        <v>661</v>
      </c>
      <c r="G11" s="3">
        <v>660</v>
      </c>
      <c r="H11" s="3">
        <v>651</v>
      </c>
      <c r="I11" s="3"/>
      <c r="J11" s="3"/>
      <c r="K11" s="3"/>
      <c r="L11" s="3"/>
      <c r="M11" s="4"/>
      <c r="O11" s="13" t="s">
        <v>17</v>
      </c>
    </row>
    <row r="12" spans="1:15" x14ac:dyDescent="0.3">
      <c r="A12" s="1" t="s">
        <v>9</v>
      </c>
      <c r="B12" s="5">
        <v>583</v>
      </c>
      <c r="C12" s="6">
        <v>1087</v>
      </c>
      <c r="D12" s="6">
        <v>1098</v>
      </c>
      <c r="E12" s="6">
        <v>1089</v>
      </c>
      <c r="F12" s="6">
        <v>1935</v>
      </c>
      <c r="G12" s="6">
        <v>1658</v>
      </c>
      <c r="H12" s="6">
        <v>2446</v>
      </c>
      <c r="I12" s="6"/>
      <c r="J12" s="6"/>
      <c r="K12" s="6"/>
      <c r="L12" s="6"/>
      <c r="M12" s="7"/>
      <c r="O12" s="14"/>
    </row>
    <row r="13" spans="1:15" x14ac:dyDescent="0.3">
      <c r="A13" s="1" t="s">
        <v>10</v>
      </c>
      <c r="B13" s="5">
        <v>532</v>
      </c>
      <c r="C13" s="6">
        <v>576</v>
      </c>
      <c r="D13" s="6">
        <v>590</v>
      </c>
      <c r="E13" s="6">
        <v>585</v>
      </c>
      <c r="F13" s="6">
        <v>595</v>
      </c>
      <c r="G13" s="6">
        <v>598</v>
      </c>
      <c r="H13" s="6">
        <v>587</v>
      </c>
      <c r="I13" s="6"/>
      <c r="J13" s="6"/>
      <c r="K13" s="6"/>
      <c r="L13" s="6"/>
      <c r="M13" s="7"/>
    </row>
    <row r="14" spans="1:15" x14ac:dyDescent="0.3">
      <c r="A14" s="1" t="s">
        <v>11</v>
      </c>
      <c r="B14" s="5">
        <v>524</v>
      </c>
      <c r="C14" s="6">
        <v>953</v>
      </c>
      <c r="D14" s="6">
        <v>943</v>
      </c>
      <c r="E14" s="6">
        <v>1008</v>
      </c>
      <c r="F14" s="6">
        <v>2320</v>
      </c>
      <c r="G14" s="6">
        <v>2423</v>
      </c>
      <c r="H14" s="6">
        <v>2274</v>
      </c>
      <c r="I14" s="6"/>
      <c r="J14" s="6"/>
      <c r="K14" s="6"/>
      <c r="L14" s="6"/>
      <c r="M14" s="7"/>
    </row>
    <row r="15" spans="1:15" x14ac:dyDescent="0.3">
      <c r="A15" s="1" t="s">
        <v>12</v>
      </c>
      <c r="B15" s="5">
        <v>583</v>
      </c>
      <c r="C15" s="6">
        <v>572</v>
      </c>
      <c r="D15" s="6">
        <v>538</v>
      </c>
      <c r="E15" s="6">
        <v>571</v>
      </c>
      <c r="F15" s="6">
        <v>590</v>
      </c>
      <c r="G15" s="6">
        <v>584</v>
      </c>
      <c r="H15" s="6">
        <v>587</v>
      </c>
      <c r="I15" s="6"/>
      <c r="J15" s="6"/>
      <c r="K15" s="6"/>
      <c r="L15" s="6"/>
      <c r="M15" s="7"/>
    </row>
    <row r="16" spans="1:15" x14ac:dyDescent="0.3">
      <c r="A16" s="1" t="s">
        <v>13</v>
      </c>
      <c r="B16" s="5">
        <v>535</v>
      </c>
      <c r="C16" s="6">
        <v>536</v>
      </c>
      <c r="D16" s="6">
        <v>597</v>
      </c>
      <c r="E16" s="6">
        <v>586</v>
      </c>
      <c r="F16" s="6">
        <v>1147</v>
      </c>
      <c r="G16" s="6">
        <v>1131</v>
      </c>
      <c r="H16" s="6">
        <v>1089</v>
      </c>
      <c r="I16" s="6"/>
      <c r="J16" s="6"/>
      <c r="K16" s="6"/>
      <c r="L16" s="6"/>
      <c r="M16" s="7"/>
    </row>
    <row r="17" spans="1:13" x14ac:dyDescent="0.3">
      <c r="A17" s="1" t="s">
        <v>14</v>
      </c>
      <c r="B17" s="5">
        <v>531</v>
      </c>
      <c r="C17" s="6">
        <v>522</v>
      </c>
      <c r="D17" s="6">
        <v>580</v>
      </c>
      <c r="E17" s="6">
        <v>583</v>
      </c>
      <c r="F17" s="6">
        <v>580</v>
      </c>
      <c r="G17" s="6">
        <v>577</v>
      </c>
      <c r="H17" s="6">
        <v>578</v>
      </c>
      <c r="I17" s="6"/>
      <c r="J17" s="6"/>
      <c r="K17" s="6"/>
      <c r="L17" s="6"/>
      <c r="M17" s="7"/>
    </row>
    <row r="18" spans="1:13" x14ac:dyDescent="0.3">
      <c r="A18" s="1" t="s">
        <v>15</v>
      </c>
      <c r="B18" s="8">
        <v>561</v>
      </c>
      <c r="C18" s="9">
        <v>571</v>
      </c>
      <c r="D18" s="9">
        <v>594</v>
      </c>
      <c r="E18" s="9">
        <v>588</v>
      </c>
      <c r="F18" s="9">
        <v>611</v>
      </c>
      <c r="G18" s="9">
        <v>613</v>
      </c>
      <c r="H18" s="9">
        <v>609</v>
      </c>
      <c r="I18" s="9"/>
      <c r="J18" s="9"/>
      <c r="K18" s="9"/>
      <c r="L18" s="9"/>
      <c r="M18" s="10"/>
    </row>
    <row r="19" spans="1:13" x14ac:dyDescent="0.3">
      <c r="B19">
        <f>MIN(B11:B18)</f>
        <v>524</v>
      </c>
      <c r="C19">
        <f>C11-$B$19</f>
        <v>55</v>
      </c>
      <c r="D19">
        <f t="shared" ref="D19:H19" si="0">D11-$B$19</f>
        <v>62</v>
      </c>
      <c r="E19">
        <f t="shared" si="0"/>
        <v>62</v>
      </c>
      <c r="F19">
        <f t="shared" si="0"/>
        <v>137</v>
      </c>
      <c r="G19">
        <f t="shared" si="0"/>
        <v>136</v>
      </c>
      <c r="H19">
        <f t="shared" si="0"/>
        <v>127</v>
      </c>
    </row>
    <row r="20" spans="1:13" x14ac:dyDescent="0.3">
      <c r="C20">
        <f t="shared" ref="C20:H20" si="1">C12-$B$19</f>
        <v>563</v>
      </c>
      <c r="D20">
        <f t="shared" si="1"/>
        <v>574</v>
      </c>
      <c r="E20">
        <f t="shared" si="1"/>
        <v>565</v>
      </c>
      <c r="F20">
        <f t="shared" si="1"/>
        <v>1411</v>
      </c>
      <c r="G20">
        <f t="shared" si="1"/>
        <v>1134</v>
      </c>
      <c r="H20">
        <f t="shared" si="1"/>
        <v>1922</v>
      </c>
    </row>
    <row r="21" spans="1:13" x14ac:dyDescent="0.3">
      <c r="C21">
        <f t="shared" ref="C21:H21" si="2">C13-$B$19</f>
        <v>52</v>
      </c>
      <c r="D21">
        <f t="shared" si="2"/>
        <v>66</v>
      </c>
      <c r="E21">
        <f t="shared" si="2"/>
        <v>61</v>
      </c>
      <c r="F21">
        <f t="shared" si="2"/>
        <v>71</v>
      </c>
      <c r="G21">
        <f t="shared" si="2"/>
        <v>74</v>
      </c>
      <c r="H21">
        <f t="shared" si="2"/>
        <v>63</v>
      </c>
    </row>
    <row r="22" spans="1:13" x14ac:dyDescent="0.3">
      <c r="C22">
        <f t="shared" ref="C22:H22" si="3">C14-$B$19</f>
        <v>429</v>
      </c>
      <c r="D22">
        <f t="shared" si="3"/>
        <v>419</v>
      </c>
      <c r="E22">
        <f t="shared" si="3"/>
        <v>484</v>
      </c>
      <c r="F22">
        <f t="shared" si="3"/>
        <v>1796</v>
      </c>
      <c r="G22">
        <f t="shared" si="3"/>
        <v>1899</v>
      </c>
      <c r="H22">
        <f t="shared" si="3"/>
        <v>1750</v>
      </c>
    </row>
    <row r="23" spans="1:13" x14ac:dyDescent="0.3">
      <c r="C23">
        <f t="shared" ref="C23:H23" si="4">C15-$B$19</f>
        <v>48</v>
      </c>
      <c r="D23">
        <f t="shared" si="4"/>
        <v>14</v>
      </c>
      <c r="E23">
        <f t="shared" si="4"/>
        <v>47</v>
      </c>
      <c r="F23">
        <f t="shared" si="4"/>
        <v>66</v>
      </c>
      <c r="G23">
        <f t="shared" si="4"/>
        <v>60</v>
      </c>
      <c r="H23">
        <f t="shared" si="4"/>
        <v>63</v>
      </c>
    </row>
    <row r="24" spans="1:13" x14ac:dyDescent="0.3">
      <c r="C24">
        <f t="shared" ref="C24:H24" si="5">C16-$B$19</f>
        <v>12</v>
      </c>
      <c r="D24">
        <f t="shared" si="5"/>
        <v>73</v>
      </c>
      <c r="E24">
        <f t="shared" si="5"/>
        <v>62</v>
      </c>
      <c r="F24">
        <f t="shared" si="5"/>
        <v>623</v>
      </c>
      <c r="G24">
        <f t="shared" si="5"/>
        <v>607</v>
      </c>
      <c r="H24">
        <f t="shared" si="5"/>
        <v>565</v>
      </c>
    </row>
    <row r="25" spans="1:13" x14ac:dyDescent="0.3">
      <c r="C25">
        <f>C17-$B$19</f>
        <v>-2</v>
      </c>
      <c r="D25">
        <f t="shared" ref="D25:H25" si="6">D17-$B$19</f>
        <v>56</v>
      </c>
      <c r="E25">
        <f t="shared" si="6"/>
        <v>59</v>
      </c>
      <c r="F25">
        <f t="shared" si="6"/>
        <v>56</v>
      </c>
      <c r="G25">
        <f t="shared" si="6"/>
        <v>53</v>
      </c>
      <c r="H25">
        <f t="shared" si="6"/>
        <v>54</v>
      </c>
    </row>
    <row r="26" spans="1:13" x14ac:dyDescent="0.3">
      <c r="C26">
        <f t="shared" ref="C26:H26" si="7">C18-$B$19</f>
        <v>47</v>
      </c>
      <c r="D26">
        <f t="shared" si="7"/>
        <v>70</v>
      </c>
      <c r="E26">
        <f t="shared" si="7"/>
        <v>64</v>
      </c>
      <c r="F26">
        <f t="shared" si="7"/>
        <v>87</v>
      </c>
      <c r="G26">
        <f t="shared" si="7"/>
        <v>89</v>
      </c>
      <c r="H26">
        <f t="shared" si="7"/>
        <v>85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26"/>
  <sheetViews>
    <sheetView workbookViewId="0">
      <selection activeCell="C19" sqref="C19:H26"/>
    </sheetView>
  </sheetViews>
  <sheetFormatPr defaultRowHeight="14.4" x14ac:dyDescent="0.3"/>
  <sheetData>
    <row r="3" spans="1:15" x14ac:dyDescent="0.3">
      <c r="A3" t="s">
        <v>0</v>
      </c>
      <c r="D3" t="s">
        <v>1</v>
      </c>
      <c r="K3" t="s">
        <v>18</v>
      </c>
    </row>
    <row r="4" spans="1:15" x14ac:dyDescent="0.3">
      <c r="A4" t="s">
        <v>3</v>
      </c>
      <c r="I4" t="s">
        <v>4</v>
      </c>
      <c r="K4" t="s">
        <v>19</v>
      </c>
    </row>
    <row r="5" spans="1:15" x14ac:dyDescent="0.3">
      <c r="A5" t="s">
        <v>6</v>
      </c>
    </row>
    <row r="9" spans="1:15" x14ac:dyDescent="0.3">
      <c r="B9" t="s">
        <v>7</v>
      </c>
      <c r="O9" s="11"/>
    </row>
    <row r="10" spans="1:15" x14ac:dyDescent="0.3"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  <c r="O10" s="12" t="s">
        <v>16</v>
      </c>
    </row>
    <row r="11" spans="1:15" x14ac:dyDescent="0.3">
      <c r="A11" s="1" t="s">
        <v>8</v>
      </c>
      <c r="B11" s="2">
        <v>650</v>
      </c>
      <c r="C11" s="3">
        <v>583</v>
      </c>
      <c r="D11" s="3">
        <v>589</v>
      </c>
      <c r="E11" s="3">
        <v>581</v>
      </c>
      <c r="F11" s="3">
        <v>653</v>
      </c>
      <c r="G11" s="3">
        <v>660</v>
      </c>
      <c r="H11" s="3">
        <v>646</v>
      </c>
      <c r="I11" s="3"/>
      <c r="J11" s="3"/>
      <c r="K11" s="3"/>
      <c r="L11" s="3"/>
      <c r="M11" s="4"/>
      <c r="O11" s="13" t="s">
        <v>17</v>
      </c>
    </row>
    <row r="12" spans="1:15" x14ac:dyDescent="0.3">
      <c r="A12" s="1" t="s">
        <v>9</v>
      </c>
      <c r="B12" s="5">
        <v>586</v>
      </c>
      <c r="C12" s="6">
        <v>1078</v>
      </c>
      <c r="D12" s="6">
        <v>1073</v>
      </c>
      <c r="E12" s="6">
        <v>1088</v>
      </c>
      <c r="F12" s="6">
        <v>1930</v>
      </c>
      <c r="G12" s="6">
        <v>1673</v>
      </c>
      <c r="H12" s="6">
        <v>2049</v>
      </c>
      <c r="I12" s="6"/>
      <c r="J12" s="6"/>
      <c r="K12" s="6"/>
      <c r="L12" s="6"/>
      <c r="M12" s="7"/>
      <c r="O12" s="14"/>
    </row>
    <row r="13" spans="1:15" x14ac:dyDescent="0.3">
      <c r="A13" s="1" t="s">
        <v>10</v>
      </c>
      <c r="B13" s="5">
        <v>540</v>
      </c>
      <c r="C13" s="6">
        <v>574</v>
      </c>
      <c r="D13" s="6">
        <v>589</v>
      </c>
      <c r="E13" s="6">
        <v>585</v>
      </c>
      <c r="F13" s="6">
        <v>586</v>
      </c>
      <c r="G13" s="6">
        <v>596</v>
      </c>
      <c r="H13" s="6">
        <v>583</v>
      </c>
      <c r="I13" s="6"/>
      <c r="J13" s="6"/>
      <c r="K13" s="6"/>
      <c r="L13" s="6"/>
      <c r="M13" s="7"/>
    </row>
    <row r="14" spans="1:15" x14ac:dyDescent="0.3">
      <c r="A14" s="1" t="s">
        <v>11</v>
      </c>
      <c r="B14" s="5">
        <v>523</v>
      </c>
      <c r="C14" s="6">
        <v>967</v>
      </c>
      <c r="D14" s="6">
        <v>965</v>
      </c>
      <c r="E14" s="6">
        <v>1010</v>
      </c>
      <c r="F14" s="6">
        <v>2300</v>
      </c>
      <c r="G14" s="6">
        <v>2371</v>
      </c>
      <c r="H14" s="6">
        <v>2238</v>
      </c>
      <c r="I14" s="6"/>
      <c r="J14" s="6"/>
      <c r="K14" s="6"/>
      <c r="L14" s="6"/>
      <c r="M14" s="7"/>
    </row>
    <row r="15" spans="1:15" x14ac:dyDescent="0.3">
      <c r="A15" s="1" t="s">
        <v>12</v>
      </c>
      <c r="B15" s="5">
        <v>582</v>
      </c>
      <c r="C15" s="6">
        <v>573</v>
      </c>
      <c r="D15" s="6">
        <v>546</v>
      </c>
      <c r="E15" s="6">
        <v>567</v>
      </c>
      <c r="F15" s="6">
        <v>581</v>
      </c>
      <c r="G15" s="6">
        <v>589</v>
      </c>
      <c r="H15" s="6">
        <v>589</v>
      </c>
      <c r="I15" s="6"/>
      <c r="J15" s="6"/>
      <c r="K15" s="6"/>
      <c r="L15" s="6"/>
      <c r="M15" s="7"/>
    </row>
    <row r="16" spans="1:15" x14ac:dyDescent="0.3">
      <c r="A16" s="1" t="s">
        <v>13</v>
      </c>
      <c r="B16" s="5">
        <v>540</v>
      </c>
      <c r="C16" s="6">
        <v>549</v>
      </c>
      <c r="D16" s="6">
        <v>593</v>
      </c>
      <c r="E16" s="6">
        <v>597</v>
      </c>
      <c r="F16" s="6">
        <v>1162</v>
      </c>
      <c r="G16" s="6">
        <v>1144</v>
      </c>
      <c r="H16" s="6">
        <v>1094</v>
      </c>
      <c r="I16" s="6"/>
      <c r="J16" s="6"/>
      <c r="K16" s="6"/>
      <c r="L16" s="6"/>
      <c r="M16" s="7"/>
    </row>
    <row r="17" spans="1:13" x14ac:dyDescent="0.3">
      <c r="A17" s="1" t="s">
        <v>14</v>
      </c>
      <c r="B17" s="5">
        <v>533</v>
      </c>
      <c r="C17" s="6">
        <v>525</v>
      </c>
      <c r="D17" s="6">
        <v>581</v>
      </c>
      <c r="E17" s="6">
        <v>584</v>
      </c>
      <c r="F17" s="6">
        <v>574</v>
      </c>
      <c r="G17" s="6">
        <v>580</v>
      </c>
      <c r="H17" s="6">
        <v>583</v>
      </c>
      <c r="I17" s="6"/>
      <c r="J17" s="6"/>
      <c r="K17" s="6"/>
      <c r="L17" s="6"/>
      <c r="M17" s="7"/>
    </row>
    <row r="18" spans="1:13" x14ac:dyDescent="0.3">
      <c r="A18" s="1" t="s">
        <v>15</v>
      </c>
      <c r="B18" s="8">
        <v>564</v>
      </c>
      <c r="C18" s="9">
        <v>576</v>
      </c>
      <c r="D18" s="9">
        <v>593</v>
      </c>
      <c r="E18" s="9">
        <v>590</v>
      </c>
      <c r="F18" s="9">
        <v>614</v>
      </c>
      <c r="G18" s="9">
        <v>608</v>
      </c>
      <c r="H18" s="9">
        <v>612</v>
      </c>
      <c r="I18" s="9"/>
      <c r="J18" s="9"/>
      <c r="K18" s="9"/>
      <c r="L18" s="9"/>
      <c r="M18" s="10"/>
    </row>
    <row r="19" spans="1:13" x14ac:dyDescent="0.3">
      <c r="B19">
        <f>MIN(B11:B18)</f>
        <v>523</v>
      </c>
      <c r="C19">
        <f>C11-$B$19</f>
        <v>60</v>
      </c>
      <c r="D19">
        <f t="shared" ref="D19:H19" si="0">D11-$B$19</f>
        <v>66</v>
      </c>
      <c r="E19">
        <f t="shared" si="0"/>
        <v>58</v>
      </c>
      <c r="F19">
        <f t="shared" si="0"/>
        <v>130</v>
      </c>
      <c r="G19">
        <f t="shared" si="0"/>
        <v>137</v>
      </c>
      <c r="H19">
        <f t="shared" si="0"/>
        <v>123</v>
      </c>
    </row>
    <row r="20" spans="1:13" x14ac:dyDescent="0.3">
      <c r="C20">
        <f t="shared" ref="C20:H25" si="1">C12-$B$19</f>
        <v>555</v>
      </c>
      <c r="D20">
        <f t="shared" si="1"/>
        <v>550</v>
      </c>
      <c r="E20">
        <f t="shared" si="1"/>
        <v>565</v>
      </c>
      <c r="F20">
        <f t="shared" si="1"/>
        <v>1407</v>
      </c>
      <c r="G20">
        <f t="shared" si="1"/>
        <v>1150</v>
      </c>
      <c r="H20">
        <f t="shared" si="1"/>
        <v>1526</v>
      </c>
    </row>
    <row r="21" spans="1:13" x14ac:dyDescent="0.3">
      <c r="C21">
        <f t="shared" si="1"/>
        <v>51</v>
      </c>
      <c r="D21">
        <f t="shared" si="1"/>
        <v>66</v>
      </c>
      <c r="E21">
        <f t="shared" si="1"/>
        <v>62</v>
      </c>
      <c r="F21">
        <f t="shared" si="1"/>
        <v>63</v>
      </c>
      <c r="G21">
        <f t="shared" si="1"/>
        <v>73</v>
      </c>
      <c r="H21">
        <f t="shared" si="1"/>
        <v>60</v>
      </c>
    </row>
    <row r="22" spans="1:13" x14ac:dyDescent="0.3">
      <c r="C22">
        <f t="shared" si="1"/>
        <v>444</v>
      </c>
      <c r="D22">
        <f t="shared" si="1"/>
        <v>442</v>
      </c>
      <c r="E22">
        <f t="shared" si="1"/>
        <v>487</v>
      </c>
      <c r="F22">
        <f t="shared" si="1"/>
        <v>1777</v>
      </c>
      <c r="G22">
        <f t="shared" si="1"/>
        <v>1848</v>
      </c>
      <c r="H22">
        <f t="shared" si="1"/>
        <v>1715</v>
      </c>
    </row>
    <row r="23" spans="1:13" x14ac:dyDescent="0.3">
      <c r="C23">
        <f t="shared" si="1"/>
        <v>50</v>
      </c>
      <c r="D23">
        <f t="shared" si="1"/>
        <v>23</v>
      </c>
      <c r="E23">
        <f t="shared" si="1"/>
        <v>44</v>
      </c>
      <c r="F23">
        <f t="shared" si="1"/>
        <v>58</v>
      </c>
      <c r="G23">
        <f t="shared" si="1"/>
        <v>66</v>
      </c>
      <c r="H23">
        <f t="shared" si="1"/>
        <v>66</v>
      </c>
    </row>
    <row r="24" spans="1:13" x14ac:dyDescent="0.3">
      <c r="C24">
        <f t="shared" si="1"/>
        <v>26</v>
      </c>
      <c r="D24">
        <f t="shared" si="1"/>
        <v>70</v>
      </c>
      <c r="E24">
        <f t="shared" si="1"/>
        <v>74</v>
      </c>
      <c r="F24">
        <f t="shared" si="1"/>
        <v>639</v>
      </c>
      <c r="G24">
        <f t="shared" si="1"/>
        <v>621</v>
      </c>
      <c r="H24">
        <f t="shared" si="1"/>
        <v>571</v>
      </c>
    </row>
    <row r="25" spans="1:13" x14ac:dyDescent="0.3">
      <c r="C25">
        <f>C17-$B$19</f>
        <v>2</v>
      </c>
      <c r="D25">
        <f t="shared" si="1"/>
        <v>58</v>
      </c>
      <c r="E25">
        <f t="shared" si="1"/>
        <v>61</v>
      </c>
      <c r="F25">
        <f t="shared" si="1"/>
        <v>51</v>
      </c>
      <c r="G25">
        <f t="shared" si="1"/>
        <v>57</v>
      </c>
      <c r="H25">
        <f t="shared" si="1"/>
        <v>60</v>
      </c>
    </row>
    <row r="26" spans="1:13" x14ac:dyDescent="0.3">
      <c r="C26">
        <f t="shared" ref="C26:H26" si="2">C18-$B$19</f>
        <v>53</v>
      </c>
      <c r="D26">
        <f t="shared" si="2"/>
        <v>70</v>
      </c>
      <c r="E26">
        <f t="shared" si="2"/>
        <v>67</v>
      </c>
      <c r="F26">
        <f t="shared" si="2"/>
        <v>91</v>
      </c>
      <c r="G26">
        <f t="shared" si="2"/>
        <v>85</v>
      </c>
      <c r="H26">
        <f t="shared" si="2"/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O26"/>
  <sheetViews>
    <sheetView workbookViewId="0">
      <selection activeCell="C19" sqref="C19:H26"/>
    </sheetView>
  </sheetViews>
  <sheetFormatPr defaultRowHeight="14.4" x14ac:dyDescent="0.3"/>
  <sheetData>
    <row r="3" spans="1:15" x14ac:dyDescent="0.3">
      <c r="A3" t="s">
        <v>0</v>
      </c>
      <c r="D3" t="s">
        <v>1</v>
      </c>
      <c r="K3" t="s">
        <v>20</v>
      </c>
    </row>
    <row r="4" spans="1:15" x14ac:dyDescent="0.3">
      <c r="A4" t="s">
        <v>3</v>
      </c>
      <c r="I4" t="s">
        <v>4</v>
      </c>
      <c r="K4" t="s">
        <v>21</v>
      </c>
    </row>
    <row r="5" spans="1:15" x14ac:dyDescent="0.3">
      <c r="A5" t="s">
        <v>6</v>
      </c>
    </row>
    <row r="9" spans="1:15" x14ac:dyDescent="0.3">
      <c r="B9" t="s">
        <v>7</v>
      </c>
      <c r="O9" s="11"/>
    </row>
    <row r="10" spans="1:15" x14ac:dyDescent="0.3"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  <c r="O10" s="12" t="s">
        <v>16</v>
      </c>
    </row>
    <row r="11" spans="1:15" x14ac:dyDescent="0.3">
      <c r="A11" s="1" t="s">
        <v>8</v>
      </c>
      <c r="B11" s="2">
        <v>641</v>
      </c>
      <c r="C11" s="3">
        <v>573</v>
      </c>
      <c r="D11" s="3">
        <v>587</v>
      </c>
      <c r="E11" s="3">
        <v>588</v>
      </c>
      <c r="F11" s="3">
        <v>650</v>
      </c>
      <c r="G11" s="3">
        <v>658</v>
      </c>
      <c r="H11" s="3">
        <v>642</v>
      </c>
      <c r="I11" s="3"/>
      <c r="J11" s="3"/>
      <c r="K11" s="3"/>
      <c r="L11" s="3"/>
      <c r="M11" s="4"/>
      <c r="O11" s="13" t="s">
        <v>17</v>
      </c>
    </row>
    <row r="12" spans="1:15" x14ac:dyDescent="0.3">
      <c r="A12" s="1" t="s">
        <v>9</v>
      </c>
      <c r="B12" s="5">
        <v>587</v>
      </c>
      <c r="C12" s="6">
        <v>1065</v>
      </c>
      <c r="D12" s="6">
        <v>1061</v>
      </c>
      <c r="E12" s="6">
        <v>1069</v>
      </c>
      <c r="F12" s="6">
        <v>1890</v>
      </c>
      <c r="G12" s="6">
        <v>1640</v>
      </c>
      <c r="H12" s="6">
        <v>1989</v>
      </c>
      <c r="I12" s="6"/>
      <c r="J12" s="6"/>
      <c r="K12" s="6"/>
      <c r="L12" s="6"/>
      <c r="M12" s="7"/>
      <c r="O12" s="14"/>
    </row>
    <row r="13" spans="1:15" x14ac:dyDescent="0.3">
      <c r="A13" s="1" t="s">
        <v>10</v>
      </c>
      <c r="B13" s="5">
        <v>533</v>
      </c>
      <c r="C13" s="6">
        <v>581</v>
      </c>
      <c r="D13" s="6">
        <v>588</v>
      </c>
      <c r="E13" s="6">
        <v>584</v>
      </c>
      <c r="F13" s="6">
        <v>590</v>
      </c>
      <c r="G13" s="6">
        <v>595</v>
      </c>
      <c r="H13" s="6">
        <v>584</v>
      </c>
      <c r="I13" s="6"/>
      <c r="J13" s="6"/>
      <c r="K13" s="6"/>
      <c r="L13" s="6"/>
      <c r="M13" s="7"/>
    </row>
    <row r="14" spans="1:15" x14ac:dyDescent="0.3">
      <c r="A14" s="1" t="s">
        <v>11</v>
      </c>
      <c r="B14" s="5">
        <v>523</v>
      </c>
      <c r="C14" s="6">
        <v>959</v>
      </c>
      <c r="D14" s="6">
        <v>953</v>
      </c>
      <c r="E14" s="6">
        <v>994</v>
      </c>
      <c r="F14" s="6">
        <v>2283</v>
      </c>
      <c r="G14" s="6">
        <v>2377</v>
      </c>
      <c r="H14" s="6">
        <v>2217</v>
      </c>
      <c r="I14" s="6"/>
      <c r="J14" s="6"/>
      <c r="K14" s="6"/>
      <c r="L14" s="6"/>
      <c r="M14" s="7"/>
    </row>
    <row r="15" spans="1:15" x14ac:dyDescent="0.3">
      <c r="A15" s="1" t="s">
        <v>12</v>
      </c>
      <c r="B15" s="5">
        <v>583</v>
      </c>
      <c r="C15" s="6">
        <v>578</v>
      </c>
      <c r="D15" s="6">
        <v>537</v>
      </c>
      <c r="E15" s="6">
        <v>572</v>
      </c>
      <c r="F15" s="6">
        <v>584</v>
      </c>
      <c r="G15" s="6">
        <v>587</v>
      </c>
      <c r="H15" s="6">
        <v>589</v>
      </c>
      <c r="I15" s="6"/>
      <c r="J15" s="6"/>
      <c r="K15" s="6"/>
      <c r="L15" s="6"/>
      <c r="M15" s="7"/>
    </row>
    <row r="16" spans="1:15" x14ac:dyDescent="0.3">
      <c r="A16" s="1" t="s">
        <v>13</v>
      </c>
      <c r="B16" s="5">
        <v>534</v>
      </c>
      <c r="C16" s="6">
        <v>549</v>
      </c>
      <c r="D16" s="6">
        <v>600</v>
      </c>
      <c r="E16" s="6">
        <v>598</v>
      </c>
      <c r="F16" s="6">
        <v>1182</v>
      </c>
      <c r="G16" s="6">
        <v>1153</v>
      </c>
      <c r="H16" s="6">
        <v>1116</v>
      </c>
      <c r="I16" s="6"/>
      <c r="J16" s="6"/>
      <c r="K16" s="6"/>
      <c r="L16" s="6"/>
      <c r="M16" s="7"/>
    </row>
    <row r="17" spans="1:13" x14ac:dyDescent="0.3">
      <c r="A17" s="1" t="s">
        <v>14</v>
      </c>
      <c r="B17" s="5">
        <v>533</v>
      </c>
      <c r="C17" s="6">
        <v>528</v>
      </c>
      <c r="D17" s="6">
        <v>589</v>
      </c>
      <c r="E17" s="6">
        <v>582</v>
      </c>
      <c r="F17" s="6">
        <v>585</v>
      </c>
      <c r="G17" s="6">
        <v>586</v>
      </c>
      <c r="H17" s="6">
        <v>587</v>
      </c>
      <c r="I17" s="6"/>
      <c r="J17" s="6"/>
      <c r="K17" s="6"/>
      <c r="L17" s="6"/>
      <c r="M17" s="7"/>
    </row>
    <row r="18" spans="1:13" x14ac:dyDescent="0.3">
      <c r="A18" s="1" t="s">
        <v>15</v>
      </c>
      <c r="B18" s="8">
        <v>566</v>
      </c>
      <c r="C18" s="9">
        <v>581</v>
      </c>
      <c r="D18" s="9">
        <v>594</v>
      </c>
      <c r="E18" s="9">
        <v>591</v>
      </c>
      <c r="F18" s="9">
        <v>612</v>
      </c>
      <c r="G18" s="9">
        <v>618</v>
      </c>
      <c r="H18" s="9">
        <v>617</v>
      </c>
      <c r="I18" s="9"/>
      <c r="J18" s="9"/>
      <c r="K18" s="9"/>
      <c r="L18" s="9"/>
      <c r="M18" s="10"/>
    </row>
    <row r="19" spans="1:13" x14ac:dyDescent="0.3">
      <c r="B19">
        <f>MIN(B11:B18)</f>
        <v>523</v>
      </c>
      <c r="C19">
        <f>C11-$B$19</f>
        <v>50</v>
      </c>
      <c r="D19">
        <f t="shared" ref="D19:H19" si="0">D11-$B$19</f>
        <v>64</v>
      </c>
      <c r="E19">
        <f t="shared" si="0"/>
        <v>65</v>
      </c>
      <c r="F19">
        <f t="shared" si="0"/>
        <v>127</v>
      </c>
      <c r="G19">
        <f t="shared" si="0"/>
        <v>135</v>
      </c>
      <c r="H19">
        <f t="shared" si="0"/>
        <v>119</v>
      </c>
    </row>
    <row r="20" spans="1:13" x14ac:dyDescent="0.3">
      <c r="C20">
        <f t="shared" ref="C20:H25" si="1">C12-$B$19</f>
        <v>542</v>
      </c>
      <c r="D20">
        <f t="shared" si="1"/>
        <v>538</v>
      </c>
      <c r="E20">
        <f t="shared" si="1"/>
        <v>546</v>
      </c>
      <c r="F20">
        <f t="shared" si="1"/>
        <v>1367</v>
      </c>
      <c r="G20">
        <f t="shared" si="1"/>
        <v>1117</v>
      </c>
      <c r="H20">
        <f t="shared" si="1"/>
        <v>1466</v>
      </c>
    </row>
    <row r="21" spans="1:13" x14ac:dyDescent="0.3">
      <c r="C21">
        <f t="shared" si="1"/>
        <v>58</v>
      </c>
      <c r="D21">
        <f t="shared" si="1"/>
        <v>65</v>
      </c>
      <c r="E21">
        <f t="shared" si="1"/>
        <v>61</v>
      </c>
      <c r="F21">
        <f t="shared" si="1"/>
        <v>67</v>
      </c>
      <c r="G21">
        <f t="shared" si="1"/>
        <v>72</v>
      </c>
      <c r="H21">
        <f t="shared" si="1"/>
        <v>61</v>
      </c>
    </row>
    <row r="22" spans="1:13" x14ac:dyDescent="0.3">
      <c r="C22">
        <f t="shared" si="1"/>
        <v>436</v>
      </c>
      <c r="D22">
        <f t="shared" si="1"/>
        <v>430</v>
      </c>
      <c r="E22">
        <f t="shared" si="1"/>
        <v>471</v>
      </c>
      <c r="F22">
        <f t="shared" si="1"/>
        <v>1760</v>
      </c>
      <c r="G22">
        <f t="shared" si="1"/>
        <v>1854</v>
      </c>
      <c r="H22">
        <f t="shared" si="1"/>
        <v>1694</v>
      </c>
    </row>
    <row r="23" spans="1:13" x14ac:dyDescent="0.3">
      <c r="C23">
        <f t="shared" si="1"/>
        <v>55</v>
      </c>
      <c r="D23">
        <f t="shared" si="1"/>
        <v>14</v>
      </c>
      <c r="E23">
        <f t="shared" si="1"/>
        <v>49</v>
      </c>
      <c r="F23">
        <f t="shared" si="1"/>
        <v>61</v>
      </c>
      <c r="G23">
        <f t="shared" si="1"/>
        <v>64</v>
      </c>
      <c r="H23">
        <f t="shared" si="1"/>
        <v>66</v>
      </c>
    </row>
    <row r="24" spans="1:13" x14ac:dyDescent="0.3">
      <c r="C24">
        <f t="shared" si="1"/>
        <v>26</v>
      </c>
      <c r="D24">
        <f t="shared" si="1"/>
        <v>77</v>
      </c>
      <c r="E24">
        <f t="shared" si="1"/>
        <v>75</v>
      </c>
      <c r="F24">
        <f t="shared" si="1"/>
        <v>659</v>
      </c>
      <c r="G24">
        <f t="shared" si="1"/>
        <v>630</v>
      </c>
      <c r="H24">
        <f t="shared" si="1"/>
        <v>593</v>
      </c>
    </row>
    <row r="25" spans="1:13" x14ac:dyDescent="0.3">
      <c r="C25">
        <f>C17-$B$19</f>
        <v>5</v>
      </c>
      <c r="D25">
        <f t="shared" si="1"/>
        <v>66</v>
      </c>
      <c r="E25">
        <f t="shared" si="1"/>
        <v>59</v>
      </c>
      <c r="F25">
        <f t="shared" si="1"/>
        <v>62</v>
      </c>
      <c r="G25">
        <f t="shared" si="1"/>
        <v>63</v>
      </c>
      <c r="H25">
        <f t="shared" si="1"/>
        <v>64</v>
      </c>
    </row>
    <row r="26" spans="1:13" x14ac:dyDescent="0.3">
      <c r="C26">
        <f t="shared" ref="C26:H26" si="2">C18-$B$19</f>
        <v>58</v>
      </c>
      <c r="D26">
        <f t="shared" si="2"/>
        <v>71</v>
      </c>
      <c r="E26">
        <f t="shared" si="2"/>
        <v>68</v>
      </c>
      <c r="F26">
        <f t="shared" si="2"/>
        <v>89</v>
      </c>
      <c r="G26">
        <f t="shared" si="2"/>
        <v>95</v>
      </c>
      <c r="H26">
        <f t="shared" si="2"/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2C79-B1F5-4A0F-95FC-E1075B28F93E}">
  <dimension ref="A1:W36"/>
  <sheetViews>
    <sheetView workbookViewId="0">
      <selection activeCell="B21" sqref="B21:B36"/>
    </sheetView>
  </sheetViews>
  <sheetFormatPr defaultRowHeight="14.4" x14ac:dyDescent="0.3"/>
  <cols>
    <col min="1" max="1" width="13.88671875" bestFit="1" customWidth="1"/>
    <col min="9" max="9" width="13.44140625" bestFit="1" customWidth="1"/>
  </cols>
  <sheetData>
    <row r="1" spans="1:23" x14ac:dyDescent="0.3">
      <c r="A1" t="s">
        <v>22</v>
      </c>
      <c r="B1">
        <v>55</v>
      </c>
      <c r="C1">
        <v>62</v>
      </c>
      <c r="D1">
        <v>62</v>
      </c>
      <c r="E1">
        <v>137</v>
      </c>
      <c r="F1">
        <v>136</v>
      </c>
      <c r="G1">
        <v>127</v>
      </c>
      <c r="I1" t="s">
        <v>23</v>
      </c>
      <c r="J1">
        <v>60</v>
      </c>
      <c r="K1">
        <v>66</v>
      </c>
      <c r="L1">
        <v>58</v>
      </c>
      <c r="M1">
        <v>130</v>
      </c>
      <c r="N1">
        <v>137</v>
      </c>
      <c r="O1">
        <v>123</v>
      </c>
      <c r="Q1" t="s">
        <v>24</v>
      </c>
      <c r="R1">
        <v>50</v>
      </c>
      <c r="S1">
        <v>64</v>
      </c>
      <c r="T1">
        <v>65</v>
      </c>
      <c r="U1">
        <v>127</v>
      </c>
      <c r="V1">
        <v>135</v>
      </c>
      <c r="W1">
        <v>119</v>
      </c>
    </row>
    <row r="2" spans="1:23" x14ac:dyDescent="0.3">
      <c r="B2">
        <v>563</v>
      </c>
      <c r="C2">
        <v>574</v>
      </c>
      <c r="D2">
        <v>565</v>
      </c>
      <c r="E2">
        <v>1411</v>
      </c>
      <c r="F2">
        <v>1134</v>
      </c>
      <c r="G2">
        <v>1922</v>
      </c>
      <c r="J2">
        <v>555</v>
      </c>
      <c r="K2">
        <v>550</v>
      </c>
      <c r="L2">
        <v>565</v>
      </c>
      <c r="M2">
        <v>1407</v>
      </c>
      <c r="N2">
        <v>1150</v>
      </c>
      <c r="O2">
        <v>1526</v>
      </c>
      <c r="R2">
        <v>542</v>
      </c>
      <c r="S2">
        <v>538</v>
      </c>
      <c r="T2">
        <v>546</v>
      </c>
      <c r="U2">
        <v>1367</v>
      </c>
      <c r="V2">
        <v>1117</v>
      </c>
      <c r="W2">
        <v>1466</v>
      </c>
    </row>
    <row r="3" spans="1:23" x14ac:dyDescent="0.3">
      <c r="B3">
        <v>52</v>
      </c>
      <c r="C3">
        <v>66</v>
      </c>
      <c r="D3">
        <v>61</v>
      </c>
      <c r="E3">
        <v>71</v>
      </c>
      <c r="F3">
        <v>74</v>
      </c>
      <c r="G3">
        <v>63</v>
      </c>
      <c r="J3">
        <v>51</v>
      </c>
      <c r="K3">
        <v>66</v>
      </c>
      <c r="L3">
        <v>62</v>
      </c>
      <c r="M3">
        <v>63</v>
      </c>
      <c r="N3">
        <v>73</v>
      </c>
      <c r="O3">
        <v>60</v>
      </c>
      <c r="R3">
        <v>58</v>
      </c>
      <c r="S3">
        <v>65</v>
      </c>
      <c r="T3">
        <v>61</v>
      </c>
      <c r="U3">
        <v>67</v>
      </c>
      <c r="V3">
        <v>72</v>
      </c>
      <c r="W3">
        <v>61</v>
      </c>
    </row>
    <row r="4" spans="1:23" x14ac:dyDescent="0.3">
      <c r="B4">
        <v>429</v>
      </c>
      <c r="C4">
        <v>419</v>
      </c>
      <c r="D4">
        <v>484</v>
      </c>
      <c r="E4">
        <v>1796</v>
      </c>
      <c r="F4">
        <v>1899</v>
      </c>
      <c r="G4">
        <v>1750</v>
      </c>
      <c r="J4">
        <v>444</v>
      </c>
      <c r="K4">
        <v>442</v>
      </c>
      <c r="L4">
        <v>487</v>
      </c>
      <c r="M4">
        <v>1777</v>
      </c>
      <c r="N4">
        <v>1848</v>
      </c>
      <c r="O4">
        <v>1715</v>
      </c>
      <c r="R4">
        <v>436</v>
      </c>
      <c r="S4">
        <v>430</v>
      </c>
      <c r="T4">
        <v>471</v>
      </c>
      <c r="U4">
        <v>1760</v>
      </c>
      <c r="V4">
        <v>1854</v>
      </c>
      <c r="W4">
        <v>1694</v>
      </c>
    </row>
    <row r="5" spans="1:23" x14ac:dyDescent="0.3">
      <c r="B5">
        <v>48</v>
      </c>
      <c r="C5">
        <v>14</v>
      </c>
      <c r="D5">
        <v>47</v>
      </c>
      <c r="E5">
        <v>66</v>
      </c>
      <c r="F5">
        <v>60</v>
      </c>
      <c r="G5">
        <v>63</v>
      </c>
      <c r="J5">
        <v>50</v>
      </c>
      <c r="K5">
        <v>23</v>
      </c>
      <c r="L5">
        <v>44</v>
      </c>
      <c r="M5">
        <v>58</v>
      </c>
      <c r="N5">
        <v>66</v>
      </c>
      <c r="O5">
        <v>66</v>
      </c>
      <c r="R5">
        <v>55</v>
      </c>
      <c r="S5">
        <v>14</v>
      </c>
      <c r="T5">
        <v>49</v>
      </c>
      <c r="U5">
        <v>61</v>
      </c>
      <c r="V5">
        <v>64</v>
      </c>
      <c r="W5">
        <v>66</v>
      </c>
    </row>
    <row r="6" spans="1:23" x14ac:dyDescent="0.3">
      <c r="B6">
        <v>12</v>
      </c>
      <c r="C6">
        <v>73</v>
      </c>
      <c r="D6">
        <v>62</v>
      </c>
      <c r="E6">
        <v>623</v>
      </c>
      <c r="F6">
        <v>607</v>
      </c>
      <c r="G6">
        <v>565</v>
      </c>
      <c r="J6">
        <v>26</v>
      </c>
      <c r="K6">
        <v>70</v>
      </c>
      <c r="L6">
        <v>74</v>
      </c>
      <c r="M6">
        <v>639</v>
      </c>
      <c r="N6">
        <v>621</v>
      </c>
      <c r="O6">
        <v>571</v>
      </c>
      <c r="R6">
        <v>26</v>
      </c>
      <c r="S6">
        <v>77</v>
      </c>
      <c r="T6">
        <v>75</v>
      </c>
      <c r="U6">
        <v>659</v>
      </c>
      <c r="V6">
        <v>630</v>
      </c>
      <c r="W6">
        <v>593</v>
      </c>
    </row>
    <row r="7" spans="1:23" x14ac:dyDescent="0.3">
      <c r="B7">
        <v>-2</v>
      </c>
      <c r="C7">
        <v>56</v>
      </c>
      <c r="D7">
        <v>59</v>
      </c>
      <c r="E7">
        <v>56</v>
      </c>
      <c r="F7">
        <v>53</v>
      </c>
      <c r="G7">
        <v>54</v>
      </c>
      <c r="J7">
        <v>2</v>
      </c>
      <c r="K7">
        <v>58</v>
      </c>
      <c r="L7">
        <v>61</v>
      </c>
      <c r="M7">
        <v>51</v>
      </c>
      <c r="N7">
        <v>57</v>
      </c>
      <c r="O7">
        <v>60</v>
      </c>
      <c r="R7">
        <v>5</v>
      </c>
      <c r="S7">
        <v>66</v>
      </c>
      <c r="T7">
        <v>59</v>
      </c>
      <c r="U7">
        <v>62</v>
      </c>
      <c r="V7">
        <v>63</v>
      </c>
      <c r="W7">
        <v>64</v>
      </c>
    </row>
    <row r="8" spans="1:23" x14ac:dyDescent="0.3">
      <c r="B8">
        <v>47</v>
      </c>
      <c r="C8">
        <v>70</v>
      </c>
      <c r="D8">
        <v>64</v>
      </c>
      <c r="E8">
        <v>87</v>
      </c>
      <c r="F8">
        <v>89</v>
      </c>
      <c r="G8">
        <v>85</v>
      </c>
      <c r="J8">
        <v>53</v>
      </c>
      <c r="K8">
        <v>70</v>
      </c>
      <c r="L8">
        <v>67</v>
      </c>
      <c r="M8">
        <v>91</v>
      </c>
      <c r="N8">
        <v>85</v>
      </c>
      <c r="O8">
        <v>89</v>
      </c>
      <c r="R8">
        <v>58</v>
      </c>
      <c r="S8">
        <v>71</v>
      </c>
      <c r="T8">
        <v>68</v>
      </c>
      <c r="U8">
        <v>89</v>
      </c>
      <c r="V8">
        <v>95</v>
      </c>
      <c r="W8">
        <v>94</v>
      </c>
    </row>
    <row r="10" spans="1:23" x14ac:dyDescent="0.3">
      <c r="B10">
        <f>AVERAGE(B1,J1,R1)</f>
        <v>55</v>
      </c>
      <c r="C10">
        <f t="shared" ref="C10:G10" si="0">AVERAGE(C1,K1,S1)</f>
        <v>64</v>
      </c>
      <c r="D10">
        <f t="shared" si="0"/>
        <v>61.666666666666664</v>
      </c>
      <c r="E10">
        <f t="shared" si="0"/>
        <v>131.33333333333334</v>
      </c>
      <c r="F10">
        <f t="shared" si="0"/>
        <v>136</v>
      </c>
      <c r="G10">
        <f t="shared" si="0"/>
        <v>123</v>
      </c>
    </row>
    <row r="11" spans="1:23" x14ac:dyDescent="0.3">
      <c r="B11">
        <f t="shared" ref="B11:B17" si="1">AVERAGE(B2,J2,R2)</f>
        <v>553.33333333333337</v>
      </c>
      <c r="C11">
        <f t="shared" ref="C11:C17" si="2">AVERAGE(C2,K2,S2)</f>
        <v>554</v>
      </c>
      <c r="D11">
        <f t="shared" ref="D11:D17" si="3">AVERAGE(D2,L2,T2)</f>
        <v>558.66666666666663</v>
      </c>
      <c r="E11">
        <f t="shared" ref="E11:E17" si="4">AVERAGE(E2,M2,U2)</f>
        <v>1395</v>
      </c>
      <c r="F11">
        <f t="shared" ref="F11:F17" si="5">AVERAGE(F2,N2,V2)</f>
        <v>1133.6666666666667</v>
      </c>
      <c r="G11">
        <f t="shared" ref="G11:G17" si="6">AVERAGE(G2,O2,W2)</f>
        <v>1638</v>
      </c>
    </row>
    <row r="12" spans="1:23" x14ac:dyDescent="0.3">
      <c r="B12">
        <f t="shared" si="1"/>
        <v>53.666666666666664</v>
      </c>
      <c r="C12">
        <f t="shared" si="2"/>
        <v>65.666666666666671</v>
      </c>
      <c r="D12">
        <f t="shared" si="3"/>
        <v>61.333333333333336</v>
      </c>
      <c r="E12">
        <f t="shared" si="4"/>
        <v>67</v>
      </c>
      <c r="F12">
        <f t="shared" si="5"/>
        <v>73</v>
      </c>
      <c r="G12">
        <f t="shared" si="6"/>
        <v>61.333333333333336</v>
      </c>
    </row>
    <row r="13" spans="1:23" x14ac:dyDescent="0.3">
      <c r="B13">
        <f t="shared" si="1"/>
        <v>436.33333333333331</v>
      </c>
      <c r="C13">
        <f t="shared" si="2"/>
        <v>430.33333333333331</v>
      </c>
      <c r="D13">
        <f t="shared" si="3"/>
        <v>480.66666666666669</v>
      </c>
      <c r="E13">
        <f t="shared" si="4"/>
        <v>1777.6666666666667</v>
      </c>
      <c r="F13">
        <f t="shared" si="5"/>
        <v>1867</v>
      </c>
      <c r="G13">
        <f t="shared" si="6"/>
        <v>1719.6666666666667</v>
      </c>
    </row>
    <row r="14" spans="1:23" x14ac:dyDescent="0.3">
      <c r="B14">
        <f t="shared" si="1"/>
        <v>51</v>
      </c>
      <c r="C14">
        <f t="shared" si="2"/>
        <v>17</v>
      </c>
      <c r="D14">
        <f t="shared" si="3"/>
        <v>46.666666666666664</v>
      </c>
      <c r="E14">
        <f t="shared" si="4"/>
        <v>61.666666666666664</v>
      </c>
      <c r="F14">
        <f t="shared" si="5"/>
        <v>63.333333333333336</v>
      </c>
      <c r="G14">
        <f t="shared" si="6"/>
        <v>65</v>
      </c>
    </row>
    <row r="15" spans="1:23" x14ac:dyDescent="0.3">
      <c r="B15">
        <f t="shared" si="1"/>
        <v>21.333333333333332</v>
      </c>
      <c r="C15">
        <f t="shared" si="2"/>
        <v>73.333333333333329</v>
      </c>
      <c r="D15">
        <f t="shared" si="3"/>
        <v>70.333333333333329</v>
      </c>
      <c r="E15">
        <f t="shared" si="4"/>
        <v>640.33333333333337</v>
      </c>
      <c r="F15">
        <f t="shared" si="5"/>
        <v>619.33333333333337</v>
      </c>
      <c r="G15">
        <f t="shared" si="6"/>
        <v>576.33333333333337</v>
      </c>
    </row>
    <row r="16" spans="1:23" x14ac:dyDescent="0.3">
      <c r="B16">
        <f t="shared" si="1"/>
        <v>1.6666666666666667</v>
      </c>
      <c r="C16">
        <f t="shared" si="2"/>
        <v>60</v>
      </c>
      <c r="D16">
        <f t="shared" si="3"/>
        <v>59.666666666666664</v>
      </c>
      <c r="E16">
        <f t="shared" si="4"/>
        <v>56.333333333333336</v>
      </c>
      <c r="F16">
        <f t="shared" si="5"/>
        <v>57.666666666666664</v>
      </c>
      <c r="G16">
        <f t="shared" si="6"/>
        <v>59.333333333333336</v>
      </c>
    </row>
    <row r="17" spans="2:7" x14ac:dyDescent="0.3">
      <c r="B17">
        <f t="shared" si="1"/>
        <v>52.666666666666664</v>
      </c>
      <c r="C17">
        <f t="shared" si="2"/>
        <v>70.333333333333329</v>
      </c>
      <c r="D17">
        <f t="shared" si="3"/>
        <v>66.333333333333329</v>
      </c>
      <c r="E17">
        <f t="shared" si="4"/>
        <v>89</v>
      </c>
      <c r="F17">
        <f t="shared" si="5"/>
        <v>89.666666666666671</v>
      </c>
      <c r="G17">
        <f t="shared" si="6"/>
        <v>89.333333333333329</v>
      </c>
    </row>
    <row r="21" spans="2:7" x14ac:dyDescent="0.3">
      <c r="B21">
        <f>AVERAGE(B10:D10)</f>
        <v>60.222222222222221</v>
      </c>
    </row>
    <row r="22" spans="2:7" x14ac:dyDescent="0.3">
      <c r="B22">
        <f>AVERAGE(E10:G10)</f>
        <v>130.11111111111111</v>
      </c>
    </row>
    <row r="23" spans="2:7" x14ac:dyDescent="0.3">
      <c r="B23">
        <f>AVERAGE(B11:D11)</f>
        <v>555.33333333333337</v>
      </c>
    </row>
    <row r="24" spans="2:7" x14ac:dyDescent="0.3">
      <c r="B24">
        <f>AVERAGE(E11:G11)</f>
        <v>1388.8888888888889</v>
      </c>
    </row>
    <row r="25" spans="2:7" x14ac:dyDescent="0.3">
      <c r="B25">
        <f>AVERAGE(B12:D12)</f>
        <v>60.222222222222229</v>
      </c>
    </row>
    <row r="26" spans="2:7" x14ac:dyDescent="0.3">
      <c r="B26">
        <f>AVERAGE(E12:G12)</f>
        <v>67.111111111111114</v>
      </c>
    </row>
    <row r="27" spans="2:7" x14ac:dyDescent="0.3">
      <c r="B27">
        <f>AVERAGE(B13:D13)</f>
        <v>449.11111111111109</v>
      </c>
    </row>
    <row r="28" spans="2:7" x14ac:dyDescent="0.3">
      <c r="B28">
        <f>AVERAGE(E13:G13)</f>
        <v>1788.1111111111113</v>
      </c>
    </row>
    <row r="29" spans="2:7" x14ac:dyDescent="0.3">
      <c r="B29">
        <f>AVERAGE(B14:D14)</f>
        <v>38.222222222222221</v>
      </c>
    </row>
    <row r="30" spans="2:7" x14ac:dyDescent="0.3">
      <c r="B30">
        <f>AVERAGE(E14:G14)</f>
        <v>63.333333333333336</v>
      </c>
    </row>
    <row r="31" spans="2:7" x14ac:dyDescent="0.3">
      <c r="B31">
        <f>AVERAGE(B15:D15)</f>
        <v>55</v>
      </c>
    </row>
    <row r="32" spans="2:7" x14ac:dyDescent="0.3">
      <c r="B32">
        <f>AVERAGE(E15:G15)</f>
        <v>612</v>
      </c>
    </row>
    <row r="33" spans="2:2" x14ac:dyDescent="0.3">
      <c r="B33">
        <f>AVERAGE(B16:D16)</f>
        <v>40.444444444444443</v>
      </c>
    </row>
    <row r="34" spans="2:2" x14ac:dyDescent="0.3">
      <c r="B34">
        <f>AVERAGE(E16:G16)</f>
        <v>57.777777777777779</v>
      </c>
    </row>
    <row r="35" spans="2:2" x14ac:dyDescent="0.3">
      <c r="B35">
        <f>AVERAGE(B17:D17)</f>
        <v>63.111111111111107</v>
      </c>
    </row>
    <row r="36" spans="2:2" x14ac:dyDescent="0.3">
      <c r="B36">
        <f>AVERAGE(E17:G17)</f>
        <v>89.333333333333329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0DEF-BEBB-45B5-855F-E31E1EBD266E}">
  <dimension ref="A1:L21"/>
  <sheetViews>
    <sheetView workbookViewId="0">
      <selection activeCell="K1" sqref="K1"/>
    </sheetView>
  </sheetViews>
  <sheetFormatPr defaultRowHeight="14.4" x14ac:dyDescent="0.3"/>
  <cols>
    <col min="11" max="11" width="13.21875" bestFit="1" customWidth="1"/>
  </cols>
  <sheetData>
    <row r="1" spans="1:12" x14ac:dyDescent="0.3">
      <c r="I1" t="s">
        <v>26</v>
      </c>
      <c r="J1" t="s">
        <v>25</v>
      </c>
      <c r="K1" t="s">
        <v>27</v>
      </c>
      <c r="L1" t="s">
        <v>28</v>
      </c>
    </row>
    <row r="2" spans="1:12" x14ac:dyDescent="0.3">
      <c r="A2">
        <f>AVERAGE('R1'!B11,'R2'!B11,'R3'!B11)</f>
        <v>646</v>
      </c>
      <c r="B2">
        <f>AVERAGE('R1'!C11,'R2'!C11,'R3'!C11)</f>
        <v>578.33333333333337</v>
      </c>
      <c r="C2">
        <f>AVERAGE('R1'!D11,'R2'!D11,'R3'!D11)</f>
        <v>587.33333333333337</v>
      </c>
      <c r="D2">
        <f>AVERAGE('R1'!E11,'R2'!E11,'R3'!E11)</f>
        <v>585</v>
      </c>
      <c r="E2">
        <f>AVERAGE('R1'!F11,'R2'!F11,'R3'!F11)</f>
        <v>654.66666666666663</v>
      </c>
      <c r="F2">
        <f>AVERAGE('R1'!G11,'R2'!G11,'R3'!G11)</f>
        <v>659.33333333333337</v>
      </c>
      <c r="G2">
        <f>AVERAGE('R1'!H11,'R2'!H11,'R3'!H11)</f>
        <v>646.33333333333337</v>
      </c>
    </row>
    <row r="3" spans="1:12" x14ac:dyDescent="0.3">
      <c r="A3">
        <f>AVERAGE('R1'!B12,'R2'!B12,'R3'!B12)</f>
        <v>585.33333333333337</v>
      </c>
      <c r="B3">
        <f>AVERAGE('R1'!C12,'R2'!C12,'R3'!C12)</f>
        <v>1076.6666666666667</v>
      </c>
      <c r="C3">
        <f>AVERAGE('R1'!D12,'R2'!D12,'R3'!D12)</f>
        <v>1077.3333333333333</v>
      </c>
      <c r="D3">
        <f>AVERAGE('R1'!E12,'R2'!E12,'R3'!E12)</f>
        <v>1082</v>
      </c>
      <c r="E3">
        <f>AVERAGE('R1'!F12,'R2'!F12,'R3'!F12)</f>
        <v>1918.3333333333333</v>
      </c>
      <c r="F3">
        <f>AVERAGE('R1'!G12,'R2'!G12,'R3'!G12)</f>
        <v>1657</v>
      </c>
      <c r="G3">
        <f>AVERAGE('R1'!H12,'R2'!H12,'R3'!H12)</f>
        <v>2161.3333333333335</v>
      </c>
      <c r="I3">
        <v>0</v>
      </c>
      <c r="J3">
        <v>0</v>
      </c>
      <c r="K3">
        <f>AVERAGE(B11:D11)</f>
        <v>60.222222222222207</v>
      </c>
      <c r="L3">
        <f>_xlfn.STDEV.P(B11:D11)</f>
        <v>3.8135560670512207</v>
      </c>
    </row>
    <row r="4" spans="1:12" x14ac:dyDescent="0.3">
      <c r="A4">
        <f>AVERAGE('R1'!B13,'R2'!B13,'R3'!B13)</f>
        <v>535</v>
      </c>
      <c r="B4">
        <f>AVERAGE('R1'!C13,'R2'!C13,'R3'!C13)</f>
        <v>577</v>
      </c>
      <c r="C4">
        <f>AVERAGE('R1'!D13,'R2'!D13,'R3'!D13)</f>
        <v>589</v>
      </c>
      <c r="D4">
        <f>AVERAGE('R1'!E13,'R2'!E13,'R3'!E13)</f>
        <v>584.66666666666663</v>
      </c>
      <c r="E4">
        <f>AVERAGE('R1'!F13,'R2'!F13,'R3'!F13)</f>
        <v>590.33333333333337</v>
      </c>
      <c r="F4">
        <f>AVERAGE('R1'!G13,'R2'!G13,'R3'!G13)</f>
        <v>596.33333333333337</v>
      </c>
      <c r="G4">
        <f>AVERAGE('R1'!H13,'R2'!H13,'R3'!H13)</f>
        <v>584.66666666666663</v>
      </c>
      <c r="I4">
        <v>0.1</v>
      </c>
      <c r="J4">
        <v>0</v>
      </c>
      <c r="K4">
        <f>AVERAGE(E11:G11)</f>
        <v>130.11111111111109</v>
      </c>
      <c r="L4">
        <f>_xlfn.STDEV.P(E11:G11)</f>
        <v>5.3771349478057102</v>
      </c>
    </row>
    <row r="5" spans="1:12" x14ac:dyDescent="0.3">
      <c r="A5">
        <f>AVERAGE('R1'!B14,'R2'!B14,'R3'!B14)</f>
        <v>523.33333333333337</v>
      </c>
      <c r="B5">
        <f>AVERAGE('R1'!C14,'R2'!C14,'R3'!C14)</f>
        <v>959.66666666666663</v>
      </c>
      <c r="C5">
        <f>AVERAGE('R1'!D14,'R2'!D14,'R3'!D14)</f>
        <v>953.66666666666663</v>
      </c>
      <c r="D5">
        <f>AVERAGE('R1'!E14,'R2'!E14,'R3'!E14)</f>
        <v>1004</v>
      </c>
      <c r="E5">
        <f>AVERAGE('R1'!F14,'R2'!F14,'R3'!F14)</f>
        <v>2301</v>
      </c>
      <c r="F5">
        <f>AVERAGE('R1'!G14,'R2'!G14,'R3'!G14)</f>
        <v>2390.3333333333335</v>
      </c>
      <c r="G5">
        <f>AVERAGE('R1'!H14,'R2'!H14,'R3'!H14)</f>
        <v>2243</v>
      </c>
      <c r="I5">
        <v>0.5</v>
      </c>
      <c r="J5">
        <v>0</v>
      </c>
      <c r="K5">
        <f>AVERAGE(B12:D12)</f>
        <v>555.33333333333337</v>
      </c>
      <c r="L5">
        <f>_xlfn.STDEV.P(B12:D12)</f>
        <v>2.3726840560069506</v>
      </c>
    </row>
    <row r="6" spans="1:12" x14ac:dyDescent="0.3">
      <c r="A6">
        <f>AVERAGE('R1'!B15,'R2'!B15,'R3'!B15)</f>
        <v>582.66666666666663</v>
      </c>
      <c r="B6">
        <f>AVERAGE('R1'!C15,'R2'!C15,'R3'!C15)</f>
        <v>574.33333333333337</v>
      </c>
      <c r="C6">
        <f>AVERAGE('R1'!D15,'R2'!D15,'R3'!D15)</f>
        <v>540.33333333333337</v>
      </c>
      <c r="D6">
        <f>AVERAGE('R1'!E15,'R2'!E15,'R3'!E15)</f>
        <v>570</v>
      </c>
      <c r="E6">
        <f>AVERAGE('R1'!F15,'R2'!F15,'R3'!F15)</f>
        <v>585</v>
      </c>
      <c r="F6">
        <f>AVERAGE('R1'!G15,'R2'!G15,'R3'!G15)</f>
        <v>586.66666666666663</v>
      </c>
      <c r="G6">
        <f>AVERAGE('R1'!H15,'R2'!H15,'R3'!H15)</f>
        <v>588.33333333333337</v>
      </c>
      <c r="I6">
        <v>1</v>
      </c>
      <c r="J6">
        <v>0</v>
      </c>
      <c r="K6">
        <f>AVERAGE(E12:G12)</f>
        <v>1388.8888888888887</v>
      </c>
      <c r="L6">
        <f>_xlfn.STDEV.P(E12:G12)</f>
        <v>205.9385620956534</v>
      </c>
    </row>
    <row r="7" spans="1:12" x14ac:dyDescent="0.3">
      <c r="A7">
        <f>AVERAGE('R1'!B16,'R2'!B16,'R3'!B16)</f>
        <v>536.33333333333337</v>
      </c>
      <c r="B7">
        <f>AVERAGE('R1'!C16,'R2'!C16,'R3'!C16)</f>
        <v>544.66666666666663</v>
      </c>
      <c r="C7">
        <f>AVERAGE('R1'!D16,'R2'!D16,'R3'!D16)</f>
        <v>596.66666666666663</v>
      </c>
      <c r="D7">
        <f>AVERAGE('R1'!E16,'R2'!E16,'R3'!E16)</f>
        <v>593.66666666666663</v>
      </c>
      <c r="E7">
        <f>AVERAGE('R1'!F16,'R2'!F16,'R3'!F16)</f>
        <v>1163.6666666666667</v>
      </c>
      <c r="F7">
        <f>AVERAGE('R1'!G16,'R2'!G16,'R3'!G16)</f>
        <v>1142.6666666666667</v>
      </c>
      <c r="G7">
        <f>AVERAGE('R1'!H16,'R2'!H16,'R3'!H16)</f>
        <v>1099.6666666666667</v>
      </c>
    </row>
    <row r="8" spans="1:12" x14ac:dyDescent="0.3">
      <c r="A8">
        <f>AVERAGE('R1'!B17,'R2'!B17,'R3'!B17)</f>
        <v>532.33333333333337</v>
      </c>
      <c r="B8">
        <f>AVERAGE('R1'!C17,'R2'!C17,'R3'!C17)</f>
        <v>525</v>
      </c>
      <c r="C8">
        <f>AVERAGE('R1'!D17,'R2'!D17,'R3'!D17)</f>
        <v>583.33333333333337</v>
      </c>
      <c r="D8">
        <f>AVERAGE('R1'!E17,'R2'!E17,'R3'!E17)</f>
        <v>583</v>
      </c>
      <c r="E8">
        <f>AVERAGE('R1'!F17,'R2'!F17,'R3'!F17)</f>
        <v>579.66666666666663</v>
      </c>
      <c r="F8">
        <f>AVERAGE('R1'!G17,'R2'!G17,'R3'!G17)</f>
        <v>581</v>
      </c>
      <c r="G8">
        <f>AVERAGE('R1'!H17,'R2'!H17,'R3'!H17)</f>
        <v>582.66666666666663</v>
      </c>
      <c r="I8">
        <v>0</v>
      </c>
      <c r="J8">
        <v>0.1</v>
      </c>
      <c r="K8">
        <f>AVERAGE(B13:D13)</f>
        <v>60.222222222222172</v>
      </c>
      <c r="L8">
        <f>_xlfn.STDEV.P(B13:D13)</f>
        <v>4.9615807915035761</v>
      </c>
    </row>
    <row r="9" spans="1:12" x14ac:dyDescent="0.3">
      <c r="A9">
        <f>AVERAGE('R1'!B18,'R2'!B18,'R3'!B18)</f>
        <v>563.66666666666663</v>
      </c>
      <c r="B9">
        <f>AVERAGE('R1'!C18,'R2'!C18,'R3'!C18)</f>
        <v>576</v>
      </c>
      <c r="C9">
        <f>AVERAGE('R1'!D18,'R2'!D18,'R3'!D18)</f>
        <v>593.66666666666663</v>
      </c>
      <c r="D9">
        <f>AVERAGE('R1'!E18,'R2'!E18,'R3'!E18)</f>
        <v>589.66666666666663</v>
      </c>
      <c r="E9">
        <f>AVERAGE('R1'!F18,'R2'!F18,'R3'!F18)</f>
        <v>612.33333333333337</v>
      </c>
      <c r="F9">
        <f>AVERAGE('R1'!G18,'R2'!G18,'R3'!G18)</f>
        <v>613</v>
      </c>
      <c r="G9">
        <f>AVERAGE('R1'!H18,'R2'!H18,'R3'!H18)</f>
        <v>612.66666666666663</v>
      </c>
      <c r="I9">
        <v>0.1</v>
      </c>
      <c r="J9">
        <v>0.1</v>
      </c>
      <c r="K9">
        <f>AVERAGE(E13:G13)</f>
        <v>67.111111111111086</v>
      </c>
      <c r="L9">
        <f>_xlfn.STDEV.P(E13:G13)</f>
        <v>4.7635446911613677</v>
      </c>
    </row>
    <row r="10" spans="1:12" x14ac:dyDescent="0.3">
      <c r="I10">
        <v>0.5</v>
      </c>
      <c r="J10">
        <v>0.1</v>
      </c>
      <c r="K10">
        <f>AVERAGE(B14:D14)</f>
        <v>449.11111111111103</v>
      </c>
      <c r="L10">
        <f>_xlfn.STDEV.P(B14:D14)</f>
        <v>22.447194550987376</v>
      </c>
    </row>
    <row r="11" spans="1:12" x14ac:dyDescent="0.3">
      <c r="A11">
        <f>MIN(A2:A9)</f>
        <v>523.33333333333337</v>
      </c>
      <c r="B11">
        <f t="shared" ref="B11:G18" si="0">B2-$A$11</f>
        <v>55</v>
      </c>
      <c r="C11">
        <f t="shared" si="0"/>
        <v>64</v>
      </c>
      <c r="D11">
        <f t="shared" si="0"/>
        <v>61.666666666666629</v>
      </c>
      <c r="E11">
        <f t="shared" si="0"/>
        <v>131.33333333333326</v>
      </c>
      <c r="F11">
        <f t="shared" si="0"/>
        <v>136</v>
      </c>
      <c r="G11">
        <f t="shared" si="0"/>
        <v>123</v>
      </c>
      <c r="I11">
        <v>1</v>
      </c>
      <c r="J11">
        <v>0.1</v>
      </c>
      <c r="K11">
        <f>AVERAGE(E14:G14)</f>
        <v>1788.1111111111111</v>
      </c>
      <c r="L11">
        <f>_xlfn.STDEV.P(E14:G14)</f>
        <v>60.600289287497652</v>
      </c>
    </row>
    <row r="12" spans="1:12" x14ac:dyDescent="0.3">
      <c r="B12">
        <f t="shared" si="0"/>
        <v>553.33333333333337</v>
      </c>
      <c r="C12">
        <f t="shared" si="0"/>
        <v>553.99999999999989</v>
      </c>
      <c r="D12">
        <f t="shared" si="0"/>
        <v>558.66666666666663</v>
      </c>
      <c r="E12">
        <f t="shared" si="0"/>
        <v>1395</v>
      </c>
      <c r="F12">
        <f t="shared" si="0"/>
        <v>1133.6666666666665</v>
      </c>
      <c r="G12">
        <f t="shared" si="0"/>
        <v>1638</v>
      </c>
    </row>
    <row r="13" spans="1:12" x14ac:dyDescent="0.3">
      <c r="B13">
        <f t="shared" si="0"/>
        <v>53.666666666666629</v>
      </c>
      <c r="C13">
        <f t="shared" si="0"/>
        <v>65.666666666666629</v>
      </c>
      <c r="D13">
        <f t="shared" si="0"/>
        <v>61.333333333333258</v>
      </c>
      <c r="E13">
        <f t="shared" si="0"/>
        <v>67</v>
      </c>
      <c r="F13">
        <f t="shared" si="0"/>
        <v>73</v>
      </c>
      <c r="G13">
        <f t="shared" si="0"/>
        <v>61.333333333333258</v>
      </c>
      <c r="I13">
        <v>0</v>
      </c>
      <c r="J13">
        <v>0.5</v>
      </c>
      <c r="K13">
        <f>AVERAGE(B15:D15)</f>
        <v>38.222222222222207</v>
      </c>
      <c r="L13">
        <f>_xlfn.STDEV.P(B15:D15)</f>
        <v>15.110294095560171</v>
      </c>
    </row>
    <row r="14" spans="1:12" x14ac:dyDescent="0.3">
      <c r="B14">
        <f t="shared" si="0"/>
        <v>436.33333333333326</v>
      </c>
      <c r="C14">
        <f t="shared" si="0"/>
        <v>430.33333333333326</v>
      </c>
      <c r="D14">
        <f t="shared" si="0"/>
        <v>480.66666666666663</v>
      </c>
      <c r="E14">
        <f t="shared" si="0"/>
        <v>1777.6666666666665</v>
      </c>
      <c r="F14">
        <f t="shared" si="0"/>
        <v>1867</v>
      </c>
      <c r="G14">
        <f t="shared" si="0"/>
        <v>1719.6666666666665</v>
      </c>
      <c r="I14">
        <v>0.1</v>
      </c>
      <c r="J14">
        <v>0.5</v>
      </c>
      <c r="K14">
        <f>AVERAGE(E15:G15)</f>
        <v>63.333333333333293</v>
      </c>
      <c r="L14">
        <f>_xlfn.STDEV.P(E15:G15)</f>
        <v>1.3608276348795587</v>
      </c>
    </row>
    <row r="15" spans="1:12" x14ac:dyDescent="0.3">
      <c r="B15">
        <f t="shared" si="0"/>
        <v>51</v>
      </c>
      <c r="C15">
        <f t="shared" si="0"/>
        <v>17</v>
      </c>
      <c r="D15">
        <f t="shared" si="0"/>
        <v>46.666666666666629</v>
      </c>
      <c r="E15">
        <f t="shared" si="0"/>
        <v>61.666666666666629</v>
      </c>
      <c r="F15">
        <f t="shared" si="0"/>
        <v>63.333333333333258</v>
      </c>
      <c r="G15">
        <f t="shared" si="0"/>
        <v>65</v>
      </c>
      <c r="I15">
        <v>0.5</v>
      </c>
      <c r="J15">
        <v>0.5</v>
      </c>
      <c r="K15">
        <f>AVERAGE(B16:D16)</f>
        <v>54.999999999999922</v>
      </c>
      <c r="L15">
        <f>_xlfn.STDEV.P(B16:D16)</f>
        <v>23.837412238374842</v>
      </c>
    </row>
    <row r="16" spans="1:12" x14ac:dyDescent="0.3">
      <c r="B16">
        <f t="shared" si="0"/>
        <v>21.333333333333258</v>
      </c>
      <c r="C16">
        <f t="shared" si="0"/>
        <v>73.333333333333258</v>
      </c>
      <c r="D16">
        <f t="shared" si="0"/>
        <v>70.333333333333258</v>
      </c>
      <c r="E16">
        <f t="shared" si="0"/>
        <v>640.33333333333337</v>
      </c>
      <c r="F16">
        <f t="shared" si="0"/>
        <v>619.33333333333337</v>
      </c>
      <c r="G16">
        <f t="shared" si="0"/>
        <v>576.33333333333337</v>
      </c>
      <c r="I16">
        <v>1</v>
      </c>
      <c r="J16">
        <v>0.5</v>
      </c>
      <c r="K16">
        <f>AVERAGE(E16:G16)</f>
        <v>612</v>
      </c>
      <c r="L16">
        <f>_xlfn.STDEV.P(E16:G16)</f>
        <v>26.637484032009397</v>
      </c>
    </row>
    <row r="17" spans="2:12" x14ac:dyDescent="0.3">
      <c r="B17">
        <f t="shared" si="0"/>
        <v>1.6666666666666288</v>
      </c>
      <c r="C17">
        <f t="shared" si="0"/>
        <v>60</v>
      </c>
      <c r="D17">
        <f t="shared" si="0"/>
        <v>59.666666666666629</v>
      </c>
      <c r="E17">
        <f t="shared" si="0"/>
        <v>56.333333333333258</v>
      </c>
      <c r="F17">
        <f t="shared" si="0"/>
        <v>57.666666666666629</v>
      </c>
      <c r="G17">
        <f t="shared" si="0"/>
        <v>59.333333333333258</v>
      </c>
    </row>
    <row r="18" spans="2:12" x14ac:dyDescent="0.3">
      <c r="B18">
        <f t="shared" si="0"/>
        <v>52.666666666666629</v>
      </c>
      <c r="C18">
        <f t="shared" si="0"/>
        <v>70.333333333333258</v>
      </c>
      <c r="D18">
        <f t="shared" si="0"/>
        <v>66.333333333333258</v>
      </c>
      <c r="E18">
        <f t="shared" si="0"/>
        <v>89</v>
      </c>
      <c r="F18">
        <f t="shared" si="0"/>
        <v>89.666666666666629</v>
      </c>
      <c r="G18">
        <f t="shared" si="0"/>
        <v>89.333333333333258</v>
      </c>
      <c r="I18">
        <v>0</v>
      </c>
      <c r="J18">
        <v>1</v>
      </c>
      <c r="K18">
        <f>AVERAGE(B17:D17)</f>
        <v>40.444444444444422</v>
      </c>
      <c r="L18">
        <f>_xlfn.STDEV.P(B17:D17)</f>
        <v>27.420367306253898</v>
      </c>
    </row>
    <row r="19" spans="2:12" x14ac:dyDescent="0.3">
      <c r="I19">
        <v>0.1</v>
      </c>
      <c r="J19">
        <v>1</v>
      </c>
      <c r="K19">
        <f>AVERAGE(E17:G17)</f>
        <v>57.777777777777715</v>
      </c>
      <c r="L19">
        <f>_xlfn.STDEV.P(E17:G17)</f>
        <v>1.2272623352430279</v>
      </c>
    </row>
    <row r="20" spans="2:12" x14ac:dyDescent="0.3">
      <c r="I20">
        <v>0.5</v>
      </c>
      <c r="J20">
        <v>1</v>
      </c>
      <c r="K20">
        <f>AVERAGE(B18:D18)</f>
        <v>63.11111111111105</v>
      </c>
      <c r="L20">
        <f>_xlfn.STDEV.P(B18:D18)</f>
        <v>7.5637210778300163</v>
      </c>
    </row>
    <row r="21" spans="2:12" x14ac:dyDescent="0.3">
      <c r="I21">
        <v>1</v>
      </c>
      <c r="J21">
        <v>1</v>
      </c>
      <c r="K21">
        <f>AVERAGE(E18:G18)</f>
        <v>89.3333333333333</v>
      </c>
      <c r="L21">
        <f>_xlfn.STDEV.P(E18:G18)</f>
        <v>0.27216552697589319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C228-65CC-4254-AFFE-905CC985828D}">
  <dimension ref="A1:D20"/>
  <sheetViews>
    <sheetView tabSelected="1" workbookViewId="0"/>
  </sheetViews>
  <sheetFormatPr defaultRowHeight="14.4" x14ac:dyDescent="0.3"/>
  <cols>
    <col min="2" max="2" width="10" customWidth="1"/>
  </cols>
  <sheetData>
    <row r="1" spans="1:4" x14ac:dyDescent="0.3">
      <c r="A1" t="s">
        <v>26</v>
      </c>
      <c r="B1" t="s">
        <v>25</v>
      </c>
      <c r="C1" t="s">
        <v>27</v>
      </c>
      <c r="D1" t="s">
        <v>28</v>
      </c>
    </row>
    <row r="2" spans="1:4" x14ac:dyDescent="0.3">
      <c r="A2">
        <v>0</v>
      </c>
      <c r="B2">
        <v>0</v>
      </c>
      <c r="C2">
        <v>60.222222222222207</v>
      </c>
      <c r="D2">
        <v>3.8135560670512207</v>
      </c>
    </row>
    <row r="3" spans="1:4" x14ac:dyDescent="0.3">
      <c r="A3">
        <v>0.1</v>
      </c>
      <c r="B3">
        <v>0</v>
      </c>
      <c r="C3">
        <v>130.11111111111109</v>
      </c>
      <c r="D3">
        <v>5.3771349478057102</v>
      </c>
    </row>
    <row r="4" spans="1:4" x14ac:dyDescent="0.3">
      <c r="A4">
        <v>0.5</v>
      </c>
      <c r="B4">
        <v>0</v>
      </c>
      <c r="C4">
        <v>555.33333333333337</v>
      </c>
      <c r="D4">
        <v>2.3726840560069506</v>
      </c>
    </row>
    <row r="5" spans="1:4" x14ac:dyDescent="0.3">
      <c r="A5">
        <v>1</v>
      </c>
      <c r="B5">
        <v>0</v>
      </c>
      <c r="C5">
        <v>1388.8888888888887</v>
      </c>
      <c r="D5">
        <v>205.9385620956534</v>
      </c>
    </row>
    <row r="7" spans="1:4" x14ac:dyDescent="0.3">
      <c r="A7">
        <v>0</v>
      </c>
      <c r="B7">
        <v>0.1</v>
      </c>
      <c r="C7">
        <v>60.222222222222172</v>
      </c>
      <c r="D7">
        <v>4.9615807915035761</v>
      </c>
    </row>
    <row r="8" spans="1:4" x14ac:dyDescent="0.3">
      <c r="A8">
        <v>0.1</v>
      </c>
      <c r="B8">
        <v>0.1</v>
      </c>
      <c r="C8">
        <v>67.111111111111086</v>
      </c>
      <c r="D8">
        <v>4.7635446911613677</v>
      </c>
    </row>
    <row r="9" spans="1:4" x14ac:dyDescent="0.3">
      <c r="A9">
        <v>0.5</v>
      </c>
      <c r="B9">
        <v>0.1</v>
      </c>
      <c r="C9">
        <v>449.11111111111103</v>
      </c>
      <c r="D9">
        <v>22.447194550987376</v>
      </c>
    </row>
    <row r="10" spans="1:4" x14ac:dyDescent="0.3">
      <c r="A10">
        <v>1</v>
      </c>
      <c r="B10">
        <v>0.1</v>
      </c>
      <c r="C10">
        <v>1788.1111111111111</v>
      </c>
      <c r="D10">
        <v>60.600289287497652</v>
      </c>
    </row>
    <row r="12" spans="1:4" x14ac:dyDescent="0.3">
      <c r="A12">
        <v>0</v>
      </c>
      <c r="B12">
        <v>0.5</v>
      </c>
      <c r="C12">
        <v>38.222222222222207</v>
      </c>
      <c r="D12">
        <v>15.110294095560171</v>
      </c>
    </row>
    <row r="13" spans="1:4" x14ac:dyDescent="0.3">
      <c r="A13">
        <v>0.1</v>
      </c>
      <c r="B13">
        <v>0.5</v>
      </c>
      <c r="C13">
        <v>63.333333333333293</v>
      </c>
      <c r="D13">
        <v>1.3608276348795587</v>
      </c>
    </row>
    <row r="14" spans="1:4" x14ac:dyDescent="0.3">
      <c r="A14">
        <v>0.5</v>
      </c>
      <c r="B14">
        <v>0.5</v>
      </c>
      <c r="C14">
        <v>54.999999999999922</v>
      </c>
      <c r="D14">
        <v>23.837412238374842</v>
      </c>
    </row>
    <row r="15" spans="1:4" x14ac:dyDescent="0.3">
      <c r="A15">
        <v>1</v>
      </c>
      <c r="B15">
        <v>0.5</v>
      </c>
      <c r="C15">
        <v>612</v>
      </c>
      <c r="D15">
        <v>26.637484032009397</v>
      </c>
    </row>
    <row r="17" spans="1:4" x14ac:dyDescent="0.3">
      <c r="A17">
        <v>0</v>
      </c>
      <c r="B17">
        <v>1</v>
      </c>
      <c r="C17">
        <v>40.444444444444422</v>
      </c>
      <c r="D17">
        <v>27.420367306253898</v>
      </c>
    </row>
    <row r="18" spans="1:4" x14ac:dyDescent="0.3">
      <c r="A18">
        <v>0.1</v>
      </c>
      <c r="B18">
        <v>1</v>
      </c>
      <c r="C18">
        <v>57.777777777777715</v>
      </c>
      <c r="D18">
        <v>1.2272623352430279</v>
      </c>
    </row>
    <row r="19" spans="1:4" x14ac:dyDescent="0.3">
      <c r="A19">
        <v>0.5</v>
      </c>
      <c r="B19">
        <v>1</v>
      </c>
      <c r="C19">
        <v>63.11111111111105</v>
      </c>
      <c r="D19">
        <v>7.5637210778300163</v>
      </c>
    </row>
    <row r="20" spans="1:4" x14ac:dyDescent="0.3">
      <c r="A20">
        <v>1</v>
      </c>
      <c r="B20">
        <v>1</v>
      </c>
      <c r="C20">
        <v>89.3333333333333</v>
      </c>
      <c r="D20">
        <v>0.27216552697589319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R1</vt:lpstr>
      <vt:lpstr>R2</vt:lpstr>
      <vt:lpstr>R3</vt:lpstr>
      <vt:lpstr>Results</vt:lpstr>
      <vt:lpstr>Sheet2</vt:lpstr>
      <vt:lpstr>plots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BlerisLab</dc:creator>
  <cp:lastModifiedBy>Zhou, Zikun</cp:lastModifiedBy>
  <dcterms:created xsi:type="dcterms:W3CDTF">2025-07-24T19:54:09Z</dcterms:created>
  <dcterms:modified xsi:type="dcterms:W3CDTF">2025-07-29T20:06:31Z</dcterms:modified>
</cp:coreProperties>
</file>