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UF\StorDNA\Manuscript2\Figures\Data\"/>
    </mc:Choice>
  </mc:AlternateContent>
  <xr:revisionPtr revIDLastSave="0" documentId="13_ncr:1_{C88376B8-09EC-4F14-BA0E-7767C32F3BBC}" xr6:coauthVersionLast="47" xr6:coauthVersionMax="47" xr10:uidLastSave="{00000000-0000-0000-0000-000000000000}"/>
  <bookViews>
    <workbookView xWindow="1116" yWindow="1116" windowWidth="17280" windowHeight="9900" activeTab="4" xr2:uid="{00000000-000D-0000-FFFF-FFFF00000000}"/>
  </bookViews>
  <sheets>
    <sheet name="R1" sheetId="1" r:id="rId1"/>
    <sheet name="R2" sheetId="2" r:id="rId2"/>
    <sheet name="R3" sheetId="3" r:id="rId3"/>
    <sheet name="Result" sheetId="4" r:id="rId4"/>
    <sheet name="Plots" sheetId="5" r:id="rId5"/>
    <sheet name="Sheet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B11" i="5"/>
  <c r="B10" i="5"/>
  <c r="B15" i="5"/>
  <c r="B14" i="5"/>
  <c r="B13" i="5"/>
  <c r="I15" i="4"/>
  <c r="C15" i="4"/>
  <c r="D15" i="4"/>
  <c r="E15" i="4"/>
  <c r="F15" i="4"/>
  <c r="G15" i="4"/>
  <c r="H15" i="4"/>
  <c r="J15" i="4"/>
  <c r="B15" i="4"/>
  <c r="C13" i="4"/>
  <c r="D13" i="4"/>
  <c r="E13" i="4"/>
  <c r="F13" i="4"/>
  <c r="G13" i="4"/>
  <c r="H13" i="4"/>
  <c r="I13" i="4"/>
  <c r="J13" i="4"/>
  <c r="B13" i="4"/>
  <c r="I3" i="4"/>
  <c r="L2" i="4"/>
  <c r="K7" i="4" s="1"/>
  <c r="L3" i="4"/>
  <c r="L4" i="4"/>
  <c r="L5" i="4"/>
  <c r="B3" i="4"/>
  <c r="B8" i="4" s="1"/>
  <c r="C3" i="4"/>
  <c r="D3" i="4"/>
  <c r="D8" i="4" s="1"/>
  <c r="E3" i="4"/>
  <c r="F3" i="4"/>
  <c r="F8" i="4" s="1"/>
  <c r="G3" i="4"/>
  <c r="H3" i="4"/>
  <c r="J3" i="4"/>
  <c r="K3" i="4"/>
  <c r="B4" i="4"/>
  <c r="C4" i="4"/>
  <c r="D4" i="4"/>
  <c r="E4" i="4"/>
  <c r="F4" i="4"/>
  <c r="G4" i="4"/>
  <c r="G9" i="4" s="1"/>
  <c r="H4" i="4"/>
  <c r="I4" i="4"/>
  <c r="I9" i="4" s="1"/>
  <c r="J4" i="4"/>
  <c r="J9" i="4" s="1"/>
  <c r="K4" i="4"/>
  <c r="B5" i="4"/>
  <c r="B10" i="4" s="1"/>
  <c r="C5" i="4"/>
  <c r="C10" i="4" s="1"/>
  <c r="D5" i="4"/>
  <c r="E5" i="4"/>
  <c r="F5" i="4"/>
  <c r="G5" i="4"/>
  <c r="H5" i="4"/>
  <c r="I5" i="4"/>
  <c r="J5" i="4"/>
  <c r="K5" i="4"/>
  <c r="K2" i="4"/>
  <c r="C2" i="4"/>
  <c r="D2" i="4"/>
  <c r="E2" i="4"/>
  <c r="F2" i="4"/>
  <c r="G2" i="4"/>
  <c r="H2" i="4"/>
  <c r="I2" i="4"/>
  <c r="I7" i="4" s="1"/>
  <c r="J2" i="4"/>
  <c r="J7" i="4" s="1"/>
  <c r="B2" i="4"/>
  <c r="B7" i="4" s="1"/>
  <c r="J14" i="4" l="1"/>
  <c r="J12" i="4"/>
  <c r="I14" i="4"/>
  <c r="E10" i="4"/>
  <c r="D10" i="4"/>
  <c r="H7" i="4"/>
  <c r="H9" i="4"/>
  <c r="I8" i="4"/>
  <c r="I12" i="4" s="1"/>
  <c r="G7" i="4"/>
  <c r="F7" i="4"/>
  <c r="F9" i="4"/>
  <c r="E7" i="4"/>
  <c r="E9" i="4"/>
  <c r="D7" i="4"/>
  <c r="D9" i="4"/>
  <c r="C7" i="4"/>
  <c r="C9" i="4"/>
  <c r="B9" i="4"/>
  <c r="B14" i="4" s="1"/>
  <c r="J10" i="4"/>
  <c r="J8" i="4"/>
  <c r="I10" i="4"/>
  <c r="H8" i="4"/>
  <c r="H10" i="4"/>
  <c r="G8" i="4"/>
  <c r="G10" i="4"/>
  <c r="F10" i="4"/>
  <c r="E8" i="4"/>
  <c r="C8" i="4"/>
  <c r="C14" i="4" l="1"/>
  <c r="C12" i="4"/>
  <c r="D12" i="4"/>
  <c r="D14" i="4"/>
  <c r="E14" i="4"/>
  <c r="E12" i="4"/>
  <c r="F12" i="4"/>
  <c r="F14" i="4"/>
  <c r="G14" i="4"/>
  <c r="G12" i="4"/>
  <c r="H12" i="4"/>
  <c r="H14" i="4"/>
  <c r="B12" i="4"/>
</calcChain>
</file>

<file path=xl/sharedStrings.xml><?xml version="1.0" encoding="utf-8"?>
<sst xmlns="http://schemas.openxmlformats.org/spreadsheetml/2006/main" count="69" uniqueCount="32">
  <si>
    <t>User: USER</t>
  </si>
  <si>
    <t>Path: C:\Program Files (x86)\BMG\Omega\User\Data\</t>
  </si>
  <si>
    <t>Test ID: 702</t>
  </si>
  <si>
    <t>Test Name: RFPSCAN</t>
  </si>
  <si>
    <t>Date: 8/13/2025</t>
  </si>
  <si>
    <t>Time: 1:01:11 PM</t>
  </si>
  <si>
    <t>Fluorescence (FI)</t>
  </si>
  <si>
    <t>Gray fields contain unused values</t>
  </si>
  <si>
    <t>Raw Data (Average) (544, 590-10)</t>
  </si>
  <si>
    <t>A</t>
  </si>
  <si>
    <t>B</t>
  </si>
  <si>
    <t>C</t>
  </si>
  <si>
    <t>D</t>
  </si>
  <si>
    <t>E</t>
  </si>
  <si>
    <t>F</t>
  </si>
  <si>
    <t>G</t>
  </si>
  <si>
    <t>H</t>
  </si>
  <si>
    <t xml:space="preserve">     Average</t>
  </si>
  <si>
    <t xml:space="preserve">     of all valid scan points used</t>
  </si>
  <si>
    <t>Test ID: 703</t>
  </si>
  <si>
    <t>Time: 1:06:34 PM</t>
  </si>
  <si>
    <t>Test ID: 704</t>
  </si>
  <si>
    <t>Time: 1:14:32 PM</t>
  </si>
  <si>
    <t>All Match</t>
  </si>
  <si>
    <t>Buffer</t>
  </si>
  <si>
    <t>intensity</t>
  </si>
  <si>
    <t>intensity_w/o_outlier</t>
  </si>
  <si>
    <t>STD</t>
  </si>
  <si>
    <t>STD2</t>
  </si>
  <si>
    <t xml:space="preserve">2 bp </t>
  </si>
  <si>
    <t xml:space="preserve">4 bp </t>
  </si>
  <si>
    <t xml:space="preserve">6 bp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</si>
</sst>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01921519069375E-2"/>
          <c:y val="6.1832490163012926E-2"/>
          <c:w val="0.91866433362496358"/>
          <c:h val="0.79495248591396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Plots!$B$1</c:f>
              <c:strCache>
                <c:ptCount val="1"/>
                <c:pt idx="0">
                  <c:v>intensity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D8-4671-8537-FDA4FDAF2C51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6D8-4671-8537-FDA4FDAF2C51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D8-4671-8537-FDA4FDAF2C51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6D8-4671-8537-FDA4FDAF2C51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6D8-4671-8537-FDA4FDAF2C51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6D8-4671-8537-FDA4FDAF2C51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6D8-4671-8537-FDA4FDAF2C51}"/>
              </c:ext>
            </c:extLst>
          </c:dPt>
          <c:dPt>
            <c:idx val="8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6D8-4671-8537-FDA4FDAF2C51}"/>
              </c:ext>
            </c:extLst>
          </c:dPt>
          <c:errBars>
            <c:errBarType val="both"/>
            <c:errValType val="cust"/>
            <c:noEndCap val="0"/>
            <c:plus>
              <c:numRef>
                <c:f>Plots!$C$2:$C$9</c:f>
                <c:numCache>
                  <c:formatCode>General</c:formatCode>
                  <c:ptCount val="8"/>
                  <c:pt idx="0">
                    <c:v>30.842228446653412</c:v>
                  </c:pt>
                  <c:pt idx="1">
                    <c:v>22.124646889837585</c:v>
                  </c:pt>
                  <c:pt idx="2">
                    <c:v>23.92856846718772</c:v>
                  </c:pt>
                  <c:pt idx="3">
                    <c:v>17.313089139594833</c:v>
                  </c:pt>
                  <c:pt idx="4">
                    <c:v>5.0579969684978332</c:v>
                  </c:pt>
                  <c:pt idx="5">
                    <c:v>19.534869109136867</c:v>
                  </c:pt>
                  <c:pt idx="6">
                    <c:v>28.40285588144652</c:v>
                  </c:pt>
                  <c:pt idx="7">
                    <c:v>4.0448870331705296</c:v>
                  </c:pt>
                </c:numCache>
              </c:numRef>
            </c:plus>
            <c:minus>
              <c:numRef>
                <c:f>Plots!$C$2:$C$9</c:f>
                <c:numCache>
                  <c:formatCode>General</c:formatCode>
                  <c:ptCount val="8"/>
                  <c:pt idx="0">
                    <c:v>30.842228446653412</c:v>
                  </c:pt>
                  <c:pt idx="1">
                    <c:v>22.124646889837585</c:v>
                  </c:pt>
                  <c:pt idx="2">
                    <c:v>23.92856846718772</c:v>
                  </c:pt>
                  <c:pt idx="3">
                    <c:v>17.313089139594833</c:v>
                  </c:pt>
                  <c:pt idx="4">
                    <c:v>5.0579969684978332</c:v>
                  </c:pt>
                  <c:pt idx="5">
                    <c:v>19.534869109136867</c:v>
                  </c:pt>
                  <c:pt idx="6">
                    <c:v>28.40285588144652</c:v>
                  </c:pt>
                  <c:pt idx="7">
                    <c:v>4.0448870331705296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Plots!$A$2:$A$9</c:f>
              <c:strCache>
                <c:ptCount val="8"/>
                <c:pt idx="0">
                  <c:v>All Match</c:v>
                </c:pt>
                <c:pt idx="1">
                  <c:v>2 bp </c:v>
                </c:pt>
                <c:pt idx="2">
                  <c:v>4 bp </c:v>
                </c:pt>
                <c:pt idx="3">
                  <c:v>6 bp </c:v>
                </c:pt>
                <c:pt idx="4">
                  <c:v>2 bp </c:v>
                </c:pt>
                <c:pt idx="5">
                  <c:v>4 bp </c:v>
                </c:pt>
                <c:pt idx="6">
                  <c:v>6 bp </c:v>
                </c:pt>
                <c:pt idx="7">
                  <c:v>Buffer</c:v>
                </c:pt>
              </c:strCache>
            </c:strRef>
          </c:cat>
          <c:val>
            <c:numRef>
              <c:f>Plots!$B$2:$B$9</c:f>
              <c:numCache>
                <c:formatCode>General</c:formatCode>
                <c:ptCount val="8"/>
                <c:pt idx="0">
                  <c:v>434.58333333333337</c:v>
                </c:pt>
                <c:pt idx="1">
                  <c:v>152.99999999999997</c:v>
                </c:pt>
                <c:pt idx="2">
                  <c:v>155.75</c:v>
                </c:pt>
                <c:pt idx="3">
                  <c:v>85.75</c:v>
                </c:pt>
                <c:pt idx="4">
                  <c:v>432.16666666666663</c:v>
                </c:pt>
                <c:pt idx="5">
                  <c:v>418</c:v>
                </c:pt>
                <c:pt idx="6">
                  <c:v>376</c:v>
                </c:pt>
                <c:pt idx="7">
                  <c:v>27.833333333333314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8-4671-8537-FDA4FDAF2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overlap val="-57"/>
        <c:axId val="763126128"/>
        <c:axId val="763117968"/>
      </c:barChart>
      <c:catAx>
        <c:axId val="7631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3117968"/>
        <c:crosses val="autoZero"/>
        <c:auto val="1"/>
        <c:lblAlgn val="ctr"/>
        <c:lblOffset val="100"/>
        <c:noMultiLvlLbl val="0"/>
      </c:catAx>
      <c:valAx>
        <c:axId val="7631179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3126128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01921519069375E-2"/>
          <c:y val="6.1832490163012926E-2"/>
          <c:w val="0.91866433362496358"/>
          <c:h val="0.811815892322059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Plots!$D$1</c:f>
              <c:strCache>
                <c:ptCount val="1"/>
                <c:pt idx="0">
                  <c:v>intensity_w/o_outlier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D8-4671-8537-FDA4FDAF2C51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6D8-4671-8537-FDA4FDAF2C51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D8-4671-8537-FDA4FDAF2C51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6D8-4671-8537-FDA4FDAF2C51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6D8-4671-8537-FDA4FDAF2C51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6D8-4671-8537-FDA4FDAF2C51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6D8-4671-8537-FDA4FDAF2C51}"/>
              </c:ext>
            </c:extLst>
          </c:dPt>
          <c:dPt>
            <c:idx val="8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6D8-4671-8537-FDA4FDAF2C51}"/>
              </c:ext>
            </c:extLst>
          </c:dPt>
          <c:errBars>
            <c:errBarType val="both"/>
            <c:errValType val="cust"/>
            <c:noEndCap val="0"/>
            <c:plus>
              <c:numRef>
                <c:f>Plots!$E$2:$E$9</c:f>
                <c:numCache>
                  <c:formatCode>General</c:formatCode>
                  <c:ptCount val="8"/>
                  <c:pt idx="0">
                    <c:v>30.842228446653412</c:v>
                  </c:pt>
                  <c:pt idx="1">
                    <c:v>22.124646889837585</c:v>
                  </c:pt>
                  <c:pt idx="2">
                    <c:v>23.92856846718772</c:v>
                  </c:pt>
                  <c:pt idx="3">
                    <c:v>17.313089139594833</c:v>
                  </c:pt>
                  <c:pt idx="4">
                    <c:v>5.0579969684978332</c:v>
                  </c:pt>
                  <c:pt idx="5">
                    <c:v>19.534869109136867</c:v>
                  </c:pt>
                  <c:pt idx="6">
                    <c:v>28.40285588144652</c:v>
                  </c:pt>
                  <c:pt idx="7">
                    <c:v>4.0448870331705296</c:v>
                  </c:pt>
                </c:numCache>
              </c:numRef>
            </c:plus>
            <c:minus>
              <c:numRef>
                <c:f>Plots!$E$2:$E$9</c:f>
                <c:numCache>
                  <c:formatCode>General</c:formatCode>
                  <c:ptCount val="8"/>
                  <c:pt idx="0">
                    <c:v>30.842228446653412</c:v>
                  </c:pt>
                  <c:pt idx="1">
                    <c:v>22.124646889837585</c:v>
                  </c:pt>
                  <c:pt idx="2">
                    <c:v>23.92856846718772</c:v>
                  </c:pt>
                  <c:pt idx="3">
                    <c:v>17.313089139594833</c:v>
                  </c:pt>
                  <c:pt idx="4">
                    <c:v>5.0579969684978332</c:v>
                  </c:pt>
                  <c:pt idx="5">
                    <c:v>19.534869109136867</c:v>
                  </c:pt>
                  <c:pt idx="6">
                    <c:v>28.40285588144652</c:v>
                  </c:pt>
                  <c:pt idx="7">
                    <c:v>4.0448870331705296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Plots!$A$2:$A$9</c:f>
              <c:strCache>
                <c:ptCount val="8"/>
                <c:pt idx="0">
                  <c:v>All Match</c:v>
                </c:pt>
                <c:pt idx="1">
                  <c:v>2 bp </c:v>
                </c:pt>
                <c:pt idx="2">
                  <c:v>4 bp </c:v>
                </c:pt>
                <c:pt idx="3">
                  <c:v>6 bp </c:v>
                </c:pt>
                <c:pt idx="4">
                  <c:v>2 bp </c:v>
                </c:pt>
                <c:pt idx="5">
                  <c:v>4 bp </c:v>
                </c:pt>
                <c:pt idx="6">
                  <c:v>6 bp </c:v>
                </c:pt>
                <c:pt idx="7">
                  <c:v>Buffer</c:v>
                </c:pt>
              </c:strCache>
            </c:strRef>
          </c:cat>
          <c:val>
            <c:numRef>
              <c:f>Plots!$D$2:$D$9</c:f>
              <c:numCache>
                <c:formatCode>General</c:formatCode>
                <c:ptCount val="8"/>
                <c:pt idx="0">
                  <c:v>434.58333333333337</c:v>
                </c:pt>
                <c:pt idx="1">
                  <c:v>152.99999999999997</c:v>
                </c:pt>
                <c:pt idx="2">
                  <c:v>155.75</c:v>
                </c:pt>
                <c:pt idx="3">
                  <c:v>85.75</c:v>
                </c:pt>
                <c:pt idx="4">
                  <c:v>432.16666666666663</c:v>
                </c:pt>
                <c:pt idx="5">
                  <c:v>418</c:v>
                </c:pt>
                <c:pt idx="6">
                  <c:v>376</c:v>
                </c:pt>
                <c:pt idx="7">
                  <c:v>27.833333333333314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8-4671-8537-FDA4FDAF2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overlap val="-57"/>
        <c:axId val="763126128"/>
        <c:axId val="763117968"/>
      </c:barChart>
      <c:catAx>
        <c:axId val="7631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3117968"/>
        <c:crosses val="autoZero"/>
        <c:auto val="1"/>
        <c:lblAlgn val="ctr"/>
        <c:lblOffset val="100"/>
        <c:noMultiLvlLbl val="0"/>
      </c:catAx>
      <c:valAx>
        <c:axId val="7631179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3126128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5</xdr:row>
      <xdr:rowOff>102870</xdr:rowOff>
    </xdr:from>
    <xdr:to>
      <xdr:col>15</xdr:col>
      <xdr:colOff>297180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751425-366E-03D4-E60F-86C6E91FD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609599</xdr:colOff>
      <xdr:row>16</xdr:row>
      <xdr:rowOff>125730</xdr:rowOff>
    </xdr:from>
    <xdr:to>
      <xdr:col>15</xdr:col>
      <xdr:colOff>265175</xdr:colOff>
      <xdr:row>28</xdr:row>
      <xdr:rowOff>180594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DE7F3F-C5CF-44F4-312D-1043606D6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8"/>
  <sheetViews>
    <sheetView topLeftCell="A3" workbookViewId="0">
      <selection activeCell="J13" sqref="J13"/>
    </sheetView>
  </sheetViews>
  <sheetFormatPr defaultRowHeight="14.4" x14ac:dyDescent="0.3"/>
  <cols>
    <col min="1" max="1" width="4.33203125" customWidth="1"/>
    <col min="15" max="15" width="34.6640625" customWidth="1"/>
  </cols>
  <sheetData>
    <row r="3" spans="1:15" x14ac:dyDescent="0.3">
      <c r="A3" t="s">
        <v>0</v>
      </c>
      <c r="D3" t="s">
        <v>1</v>
      </c>
      <c r="K3" t="s">
        <v>2</v>
      </c>
    </row>
    <row r="4" spans="1:15" x14ac:dyDescent="0.3">
      <c r="A4" t="s">
        <v>3</v>
      </c>
      <c r="I4" t="s">
        <v>4</v>
      </c>
      <c r="K4" t="s">
        <v>5</v>
      </c>
    </row>
    <row r="5" spans="1:15" x14ac:dyDescent="0.3">
      <c r="A5" t="s">
        <v>6</v>
      </c>
    </row>
    <row r="6" spans="1:15" x14ac:dyDescent="0.3">
      <c r="A6" t="s">
        <v>7</v>
      </c>
    </row>
    <row r="9" spans="1:15" x14ac:dyDescent="0.3">
      <c r="B9" t="s">
        <v>8</v>
      </c>
      <c r="O9" s="11"/>
    </row>
    <row r="10" spans="1:15" x14ac:dyDescent="0.3"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O10" s="12" t="s">
        <v>17</v>
      </c>
    </row>
    <row r="11" spans="1:15" x14ac:dyDescent="0.3">
      <c r="A11" s="1" t="s">
        <v>9</v>
      </c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O11" s="13" t="s">
        <v>18</v>
      </c>
    </row>
    <row r="12" spans="1:15" x14ac:dyDescent="0.3">
      <c r="A12" s="1" t="s">
        <v>10</v>
      </c>
      <c r="B12" s="5"/>
      <c r="C12" s="6">
        <v>990</v>
      </c>
      <c r="D12" s="6">
        <v>806</v>
      </c>
      <c r="E12" s="6">
        <v>762</v>
      </c>
      <c r="F12" s="6">
        <v>728</v>
      </c>
      <c r="G12" s="6">
        <v>972</v>
      </c>
      <c r="H12" s="6">
        <v>970</v>
      </c>
      <c r="I12" s="6">
        <v>861</v>
      </c>
      <c r="J12" s="6">
        <v>746</v>
      </c>
      <c r="K12" s="6">
        <v>586</v>
      </c>
      <c r="L12" s="6">
        <v>571</v>
      </c>
      <c r="M12" s="7">
        <v>573</v>
      </c>
      <c r="O12" s="14"/>
    </row>
    <row r="13" spans="1:15" x14ac:dyDescent="0.3">
      <c r="A13" s="1" t="s">
        <v>11</v>
      </c>
      <c r="B13" s="5"/>
      <c r="C13" s="6">
        <v>971</v>
      </c>
      <c r="D13" s="6">
        <v>709</v>
      </c>
      <c r="E13" s="6">
        <v>710</v>
      </c>
      <c r="F13" s="6">
        <v>709</v>
      </c>
      <c r="G13" s="6">
        <v>969</v>
      </c>
      <c r="H13" s="6">
        <v>942</v>
      </c>
      <c r="I13" s="6">
        <v>881</v>
      </c>
      <c r="J13" s="6">
        <v>876</v>
      </c>
      <c r="K13" s="6">
        <v>587</v>
      </c>
      <c r="L13" s="6">
        <v>575</v>
      </c>
      <c r="M13" s="7">
        <v>571</v>
      </c>
    </row>
    <row r="14" spans="1:15" x14ac:dyDescent="0.3">
      <c r="A14" s="1" t="s">
        <v>12</v>
      </c>
      <c r="B14" s="5"/>
      <c r="C14" s="6">
        <v>1034</v>
      </c>
      <c r="D14" s="6">
        <v>720</v>
      </c>
      <c r="E14" s="6">
        <v>695</v>
      </c>
      <c r="F14" s="6">
        <v>651</v>
      </c>
      <c r="G14" s="6">
        <v>983</v>
      </c>
      <c r="H14" s="6">
        <v>955</v>
      </c>
      <c r="I14" s="6">
        <v>952</v>
      </c>
      <c r="J14" s="6">
        <v>727</v>
      </c>
      <c r="K14" s="6">
        <v>572</v>
      </c>
      <c r="L14" s="6">
        <v>574</v>
      </c>
      <c r="M14" s="7">
        <v>569</v>
      </c>
    </row>
    <row r="15" spans="1:15" x14ac:dyDescent="0.3">
      <c r="A15" s="1" t="s">
        <v>13</v>
      </c>
      <c r="B15" s="5"/>
      <c r="C15" s="6">
        <v>952</v>
      </c>
      <c r="D15" s="6">
        <v>703</v>
      </c>
      <c r="E15" s="6">
        <v>755</v>
      </c>
      <c r="F15" s="6">
        <v>647</v>
      </c>
      <c r="G15" s="6">
        <v>972</v>
      </c>
      <c r="H15" s="6">
        <v>952</v>
      </c>
      <c r="I15" s="6">
        <v>940</v>
      </c>
      <c r="J15" s="6">
        <v>741</v>
      </c>
      <c r="K15" s="6">
        <v>588</v>
      </c>
      <c r="L15" s="6">
        <v>569</v>
      </c>
      <c r="M15" s="7">
        <v>553</v>
      </c>
    </row>
    <row r="16" spans="1:15" x14ac:dyDescent="0.3">
      <c r="A16" s="1" t="s">
        <v>14</v>
      </c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</row>
    <row r="17" spans="1:13" x14ac:dyDescent="0.3">
      <c r="A17" s="1" t="s">
        <v>15</v>
      </c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</row>
    <row r="18" spans="1:13" x14ac:dyDescent="0.3">
      <c r="A18" s="1" t="s">
        <v>16</v>
      </c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8"/>
  <sheetViews>
    <sheetView workbookViewId="0">
      <selection activeCell="K12" sqref="K12:M15"/>
    </sheetView>
  </sheetViews>
  <sheetFormatPr defaultRowHeight="14.4" x14ac:dyDescent="0.3"/>
  <sheetData>
    <row r="3" spans="1:15" x14ac:dyDescent="0.3">
      <c r="A3" t="s">
        <v>0</v>
      </c>
      <c r="D3" t="s">
        <v>1</v>
      </c>
      <c r="K3" t="s">
        <v>19</v>
      </c>
    </row>
    <row r="4" spans="1:15" x14ac:dyDescent="0.3">
      <c r="A4" t="s">
        <v>3</v>
      </c>
      <c r="I4" t="s">
        <v>4</v>
      </c>
      <c r="K4" t="s">
        <v>20</v>
      </c>
    </row>
    <row r="5" spans="1:15" x14ac:dyDescent="0.3">
      <c r="A5" t="s">
        <v>6</v>
      </c>
    </row>
    <row r="6" spans="1:15" x14ac:dyDescent="0.3">
      <c r="A6" t="s">
        <v>7</v>
      </c>
    </row>
    <row r="9" spans="1:15" x14ac:dyDescent="0.3">
      <c r="B9" t="s">
        <v>8</v>
      </c>
      <c r="O9" s="11"/>
    </row>
    <row r="10" spans="1:15" x14ac:dyDescent="0.3"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O10" s="12" t="s">
        <v>17</v>
      </c>
    </row>
    <row r="11" spans="1:15" x14ac:dyDescent="0.3">
      <c r="A11" s="1" t="s">
        <v>9</v>
      </c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O11" s="13" t="s">
        <v>18</v>
      </c>
    </row>
    <row r="12" spans="1:15" x14ac:dyDescent="0.3">
      <c r="A12" s="1" t="s">
        <v>10</v>
      </c>
      <c r="B12" s="5"/>
      <c r="C12" s="6">
        <v>970</v>
      </c>
      <c r="D12" s="6">
        <v>706</v>
      </c>
      <c r="E12" s="6">
        <v>635</v>
      </c>
      <c r="F12" s="6">
        <v>630</v>
      </c>
      <c r="G12" s="6">
        <v>996</v>
      </c>
      <c r="H12" s="6">
        <v>1014</v>
      </c>
      <c r="I12" s="6">
        <v>903</v>
      </c>
      <c r="J12" s="6">
        <v>683</v>
      </c>
      <c r="K12" s="6">
        <v>577</v>
      </c>
      <c r="L12" s="6">
        <v>569</v>
      </c>
      <c r="M12" s="7">
        <v>572</v>
      </c>
      <c r="O12" s="14"/>
    </row>
    <row r="13" spans="1:15" x14ac:dyDescent="0.3">
      <c r="A13" s="1" t="s">
        <v>11</v>
      </c>
      <c r="B13" s="5"/>
      <c r="C13" s="6">
        <v>960</v>
      </c>
      <c r="D13" s="6">
        <v>695</v>
      </c>
      <c r="E13" s="6">
        <v>711</v>
      </c>
      <c r="F13" s="6">
        <v>635</v>
      </c>
      <c r="G13" s="6">
        <v>986</v>
      </c>
      <c r="H13" s="6">
        <v>958</v>
      </c>
      <c r="I13" s="6">
        <v>935</v>
      </c>
      <c r="J13" s="6">
        <v>936</v>
      </c>
      <c r="K13" s="6">
        <v>583</v>
      </c>
      <c r="L13" s="6">
        <v>570</v>
      </c>
      <c r="M13" s="7">
        <v>569</v>
      </c>
    </row>
    <row r="14" spans="1:15" x14ac:dyDescent="0.3">
      <c r="A14" s="1" t="s">
        <v>12</v>
      </c>
      <c r="B14" s="5"/>
      <c r="C14" s="6">
        <v>1040</v>
      </c>
      <c r="D14" s="6">
        <v>670</v>
      </c>
      <c r="E14" s="6">
        <v>702</v>
      </c>
      <c r="F14" s="6">
        <v>605</v>
      </c>
      <c r="G14" s="6">
        <v>993</v>
      </c>
      <c r="H14" s="6">
        <v>980</v>
      </c>
      <c r="I14" s="6">
        <v>970</v>
      </c>
      <c r="J14" s="6">
        <v>707</v>
      </c>
      <c r="K14" s="6">
        <v>579</v>
      </c>
      <c r="L14" s="6">
        <v>567</v>
      </c>
      <c r="M14" s="7">
        <v>573</v>
      </c>
    </row>
    <row r="15" spans="1:15" x14ac:dyDescent="0.3">
      <c r="A15" s="1" t="s">
        <v>13</v>
      </c>
      <c r="B15" s="5"/>
      <c r="C15" s="6">
        <v>965</v>
      </c>
      <c r="D15" s="6">
        <v>693</v>
      </c>
      <c r="E15" s="6">
        <v>747</v>
      </c>
      <c r="F15" s="6">
        <v>618</v>
      </c>
      <c r="G15" s="6">
        <v>983</v>
      </c>
      <c r="H15" s="6">
        <v>963</v>
      </c>
      <c r="I15" s="6">
        <v>951</v>
      </c>
      <c r="J15" s="6">
        <v>735</v>
      </c>
      <c r="K15" s="6">
        <v>589</v>
      </c>
      <c r="L15" s="6">
        <v>570</v>
      </c>
      <c r="M15" s="7">
        <v>555</v>
      </c>
    </row>
    <row r="16" spans="1:15" x14ac:dyDescent="0.3">
      <c r="A16" s="1" t="s">
        <v>14</v>
      </c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</row>
    <row r="17" spans="1:13" x14ac:dyDescent="0.3">
      <c r="A17" s="1" t="s">
        <v>15</v>
      </c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</row>
    <row r="18" spans="1:13" x14ac:dyDescent="0.3">
      <c r="A18" s="1" t="s">
        <v>16</v>
      </c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O18"/>
  <sheetViews>
    <sheetView workbookViewId="0">
      <selection activeCell="J13" sqref="J13"/>
    </sheetView>
  </sheetViews>
  <sheetFormatPr defaultRowHeight="14.4" x14ac:dyDescent="0.3"/>
  <sheetData>
    <row r="3" spans="1:15" x14ac:dyDescent="0.3">
      <c r="A3" t="s">
        <v>0</v>
      </c>
      <c r="D3" t="s">
        <v>1</v>
      </c>
      <c r="K3" t="s">
        <v>21</v>
      </c>
    </row>
    <row r="4" spans="1:15" x14ac:dyDescent="0.3">
      <c r="A4" t="s">
        <v>3</v>
      </c>
      <c r="I4" t="s">
        <v>4</v>
      </c>
      <c r="K4" t="s">
        <v>22</v>
      </c>
    </row>
    <row r="5" spans="1:15" x14ac:dyDescent="0.3">
      <c r="A5" t="s">
        <v>6</v>
      </c>
    </row>
    <row r="6" spans="1:15" x14ac:dyDescent="0.3">
      <c r="A6" t="s">
        <v>7</v>
      </c>
    </row>
    <row r="9" spans="1:15" x14ac:dyDescent="0.3">
      <c r="B9" t="s">
        <v>8</v>
      </c>
      <c r="O9" s="11"/>
    </row>
    <row r="10" spans="1:15" x14ac:dyDescent="0.3"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O10" s="12" t="s">
        <v>17</v>
      </c>
    </row>
    <row r="11" spans="1:15" x14ac:dyDescent="0.3">
      <c r="A11" s="1" t="s">
        <v>9</v>
      </c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O11" s="13" t="s">
        <v>18</v>
      </c>
    </row>
    <row r="12" spans="1:15" x14ac:dyDescent="0.3">
      <c r="A12" s="1" t="s">
        <v>10</v>
      </c>
      <c r="B12" s="5"/>
      <c r="C12" s="6">
        <v>987</v>
      </c>
      <c r="D12" s="6">
        <v>717</v>
      </c>
      <c r="E12" s="6">
        <v>634</v>
      </c>
      <c r="F12" s="6">
        <v>617</v>
      </c>
      <c r="G12" s="6">
        <v>1008</v>
      </c>
      <c r="H12" s="6">
        <v>1030</v>
      </c>
      <c r="I12" s="6">
        <v>909</v>
      </c>
      <c r="J12" s="6">
        <v>689</v>
      </c>
      <c r="K12" s="6">
        <v>582</v>
      </c>
      <c r="L12" s="6">
        <v>577</v>
      </c>
      <c r="M12" s="7">
        <v>575</v>
      </c>
      <c r="O12" s="14"/>
    </row>
    <row r="13" spans="1:15" x14ac:dyDescent="0.3">
      <c r="A13" s="1" t="s">
        <v>11</v>
      </c>
      <c r="B13" s="5"/>
      <c r="C13" s="6">
        <v>983</v>
      </c>
      <c r="D13" s="6">
        <v>704</v>
      </c>
      <c r="E13" s="6">
        <v>733</v>
      </c>
      <c r="F13" s="6">
        <v>627</v>
      </c>
      <c r="G13" s="6">
        <v>1006</v>
      </c>
      <c r="H13" s="6">
        <v>969</v>
      </c>
      <c r="I13" s="6">
        <v>942</v>
      </c>
      <c r="J13" s="6">
        <v>939</v>
      </c>
      <c r="K13" s="6">
        <v>584</v>
      </c>
      <c r="L13" s="6">
        <v>575</v>
      </c>
      <c r="M13" s="7">
        <v>563</v>
      </c>
    </row>
    <row r="14" spans="1:15" x14ac:dyDescent="0.3">
      <c r="A14" s="1" t="s">
        <v>12</v>
      </c>
      <c r="B14" s="5"/>
      <c r="C14" s="6">
        <v>1051</v>
      </c>
      <c r="D14" s="6">
        <v>655</v>
      </c>
      <c r="E14" s="6">
        <v>717</v>
      </c>
      <c r="F14" s="6">
        <v>600</v>
      </c>
      <c r="G14" s="6">
        <v>996</v>
      </c>
      <c r="H14" s="6">
        <v>986</v>
      </c>
      <c r="I14" s="6">
        <v>975</v>
      </c>
      <c r="J14" s="6">
        <v>710</v>
      </c>
      <c r="K14" s="6">
        <v>580</v>
      </c>
      <c r="L14" s="6">
        <v>574</v>
      </c>
      <c r="M14" s="7">
        <v>573</v>
      </c>
    </row>
    <row r="15" spans="1:15" x14ac:dyDescent="0.3">
      <c r="A15" s="1" t="s">
        <v>13</v>
      </c>
      <c r="B15" s="5"/>
      <c r="C15" s="6">
        <v>972</v>
      </c>
      <c r="D15" s="6">
        <v>718</v>
      </c>
      <c r="E15" s="6">
        <v>728</v>
      </c>
      <c r="F15" s="6">
        <v>622</v>
      </c>
      <c r="G15" s="6">
        <v>982</v>
      </c>
      <c r="H15" s="6">
        <v>957</v>
      </c>
      <c r="I15" s="6">
        <v>953</v>
      </c>
      <c r="J15" s="6">
        <v>734</v>
      </c>
      <c r="K15" s="6">
        <v>587</v>
      </c>
      <c r="L15" s="6">
        <v>574</v>
      </c>
      <c r="M15" s="7">
        <v>557</v>
      </c>
    </row>
    <row r="16" spans="1:15" x14ac:dyDescent="0.3">
      <c r="A16" s="1" t="s">
        <v>14</v>
      </c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</row>
    <row r="17" spans="1:13" x14ac:dyDescent="0.3">
      <c r="A17" s="1" t="s">
        <v>15</v>
      </c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</row>
    <row r="18" spans="1:13" x14ac:dyDescent="0.3">
      <c r="A18" s="1" t="s">
        <v>16</v>
      </c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4B92B-C8A6-43BA-B239-4FAD50D4007B}">
  <dimension ref="B2:W15"/>
  <sheetViews>
    <sheetView workbookViewId="0">
      <selection activeCell="P6" sqref="P6:P15"/>
    </sheetView>
  </sheetViews>
  <sheetFormatPr defaultRowHeight="14.4" x14ac:dyDescent="0.3"/>
  <sheetData>
    <row r="2" spans="2:23" x14ac:dyDescent="0.3">
      <c r="B2">
        <f>AVERAGE('R1'!C12,'R2'!C12,'R3'!C12)</f>
        <v>982.33333333333337</v>
      </c>
      <c r="C2">
        <f>AVERAGE('R1'!D12,'R2'!D12,'R3'!D12)</f>
        <v>743</v>
      </c>
      <c r="D2">
        <f>AVERAGE('R1'!E12,'R2'!E12,'R3'!E12)</f>
        <v>677</v>
      </c>
      <c r="E2">
        <f>AVERAGE('R1'!F12,'R2'!F12,'R3'!F12)</f>
        <v>658.33333333333337</v>
      </c>
      <c r="F2">
        <f>AVERAGE('R1'!G12,'R2'!G12,'R3'!G12)</f>
        <v>992</v>
      </c>
      <c r="G2">
        <f>AVERAGE('R1'!H12,'R2'!H12,'R3'!H12)</f>
        <v>1004.6666666666666</v>
      </c>
      <c r="H2">
        <f>AVERAGE('R1'!I12,'R2'!I12,'R3'!I12)</f>
        <v>891</v>
      </c>
      <c r="I2">
        <f>AVERAGE('R1'!J12,'R2'!J12,'R3'!J12)</f>
        <v>706</v>
      </c>
      <c r="J2">
        <f>AVERAGE('R1'!K12,'R2'!K12,'R3'!K12)</f>
        <v>581.66666666666663</v>
      </c>
      <c r="K2">
        <f>AVERAGE('R1'!L12,'R2'!L12,'R3'!L12)</f>
        <v>572.33333333333337</v>
      </c>
      <c r="L2">
        <f>AVERAGE('R1'!M12,'R2'!M12,'R3'!M12)</f>
        <v>573.33333333333337</v>
      </c>
    </row>
    <row r="3" spans="2:23" x14ac:dyDescent="0.3">
      <c r="B3">
        <f>AVERAGE('R1'!C13,'R2'!C13,'R3'!C13)</f>
        <v>971.33333333333337</v>
      </c>
      <c r="C3">
        <f>AVERAGE('R1'!D13,'R2'!D13,'R3'!D13)</f>
        <v>702.66666666666663</v>
      </c>
      <c r="D3">
        <f>AVERAGE('R1'!E13,'R2'!E13,'R3'!E13)</f>
        <v>718</v>
      </c>
      <c r="E3">
        <f>AVERAGE('R1'!F13,'R2'!F13,'R3'!F13)</f>
        <v>657</v>
      </c>
      <c r="F3">
        <f>AVERAGE('R1'!G13,'R2'!G13,'R3'!G13)</f>
        <v>987</v>
      </c>
      <c r="G3">
        <f>AVERAGE('R1'!H13,'R2'!H13,'R3'!H13)</f>
        <v>956.33333333333337</v>
      </c>
      <c r="H3">
        <f>AVERAGE('R1'!I13,'R2'!I13,'R3'!I13)</f>
        <v>919.33333333333337</v>
      </c>
      <c r="I3">
        <f>AVERAGE('R1'!J13,'R2'!J13,'R3'!J13)</f>
        <v>917</v>
      </c>
      <c r="J3">
        <f>AVERAGE('R1'!K13,'R2'!K13,'R3'!K13)</f>
        <v>584.66666666666663</v>
      </c>
      <c r="K3">
        <f>AVERAGE('R1'!L13,'R2'!L13,'R3'!L13)</f>
        <v>573.33333333333337</v>
      </c>
      <c r="L3">
        <f>AVERAGE('R1'!M13,'R2'!M13,'R3'!M13)</f>
        <v>567.66666666666663</v>
      </c>
      <c r="O3">
        <v>30.842228446653412</v>
      </c>
      <c r="P3">
        <v>22.124646889837585</v>
      </c>
      <c r="Q3">
        <v>23.92856846718772</v>
      </c>
      <c r="R3">
        <v>17.313089139594833</v>
      </c>
      <c r="S3">
        <v>5.0579969684978332</v>
      </c>
      <c r="T3">
        <v>19.534869109136867</v>
      </c>
      <c r="U3">
        <v>28.40285588144652</v>
      </c>
      <c r="V3">
        <v>86.414496919080548</v>
      </c>
      <c r="W3">
        <v>4.0448870331705296</v>
      </c>
    </row>
    <row r="4" spans="2:23" x14ac:dyDescent="0.3">
      <c r="B4">
        <f>AVERAGE('R1'!C14,'R2'!C14,'R3'!C14)</f>
        <v>1041.6666666666667</v>
      </c>
      <c r="C4">
        <f>AVERAGE('R1'!D14,'R2'!D14,'R3'!D14)</f>
        <v>681.66666666666663</v>
      </c>
      <c r="D4">
        <f>AVERAGE('R1'!E14,'R2'!E14,'R3'!E14)</f>
        <v>704.66666666666663</v>
      </c>
      <c r="E4">
        <f>AVERAGE('R1'!F14,'R2'!F14,'R3'!F14)</f>
        <v>618.66666666666663</v>
      </c>
      <c r="F4">
        <f>AVERAGE('R1'!G14,'R2'!G14,'R3'!G14)</f>
        <v>990.66666666666663</v>
      </c>
      <c r="G4">
        <f>AVERAGE('R1'!H14,'R2'!H14,'R3'!H14)</f>
        <v>973.66666666666663</v>
      </c>
      <c r="H4">
        <f>AVERAGE('R1'!I14,'R2'!I14,'R3'!I14)</f>
        <v>965.66666666666663</v>
      </c>
      <c r="I4">
        <f>AVERAGE('R1'!J14,'R2'!J14,'R3'!J14)</f>
        <v>714.66666666666663</v>
      </c>
      <c r="J4">
        <f>AVERAGE('R1'!K14,'R2'!K14,'R3'!K14)</f>
        <v>577</v>
      </c>
      <c r="K4">
        <f>AVERAGE('R1'!L14,'R2'!L14,'R3'!L14)</f>
        <v>571.66666666666663</v>
      </c>
      <c r="L4">
        <f>AVERAGE('R1'!M14,'R2'!M14,'R3'!M14)</f>
        <v>571.66666666666663</v>
      </c>
      <c r="O4">
        <v>30.842228446653412</v>
      </c>
      <c r="P4">
        <v>22.124646889837585</v>
      </c>
      <c r="Q4">
        <v>23.92856846718772</v>
      </c>
      <c r="R4">
        <v>17.313089139594833</v>
      </c>
      <c r="S4">
        <v>5.0579969684978332</v>
      </c>
      <c r="T4">
        <v>19.534869109136867</v>
      </c>
      <c r="U4">
        <v>28.40285588144652</v>
      </c>
      <c r="V4">
        <v>12.908031761295637</v>
      </c>
      <c r="W4">
        <v>4.0448870331705296</v>
      </c>
    </row>
    <row r="5" spans="2:23" x14ac:dyDescent="0.3">
      <c r="B5">
        <f>AVERAGE('R1'!C15,'R2'!C15,'R3'!C15)</f>
        <v>963</v>
      </c>
      <c r="C5">
        <f>AVERAGE('R1'!D15,'R2'!D15,'R3'!D15)</f>
        <v>704.66666666666663</v>
      </c>
      <c r="D5">
        <f>AVERAGE('R1'!E15,'R2'!E15,'R3'!E15)</f>
        <v>743.33333333333337</v>
      </c>
      <c r="E5">
        <f>AVERAGE('R1'!F15,'R2'!F15,'R3'!F15)</f>
        <v>629</v>
      </c>
      <c r="F5">
        <f>AVERAGE('R1'!G15,'R2'!G15,'R3'!G15)</f>
        <v>979</v>
      </c>
      <c r="G5">
        <f>AVERAGE('R1'!H15,'R2'!H15,'R3'!H15)</f>
        <v>957.33333333333337</v>
      </c>
      <c r="H5">
        <f>AVERAGE('R1'!I15,'R2'!I15,'R3'!I15)</f>
        <v>948</v>
      </c>
      <c r="I5">
        <f>AVERAGE('R1'!J15,'R2'!J15,'R3'!J15)</f>
        <v>736.66666666666663</v>
      </c>
      <c r="J5">
        <f>AVERAGE('R1'!K15,'R2'!K15,'R3'!K15)</f>
        <v>588</v>
      </c>
      <c r="K5">
        <f>AVERAGE('R1'!L15,'R2'!L15,'R3'!L15)</f>
        <v>571</v>
      </c>
      <c r="L5">
        <f>AVERAGE('R1'!M15,'R2'!M15,'R3'!M15)</f>
        <v>555</v>
      </c>
    </row>
    <row r="6" spans="2:23" x14ac:dyDescent="0.3">
      <c r="N6">
        <v>30.842228446653412</v>
      </c>
      <c r="P6">
        <v>30.842228446653412</v>
      </c>
    </row>
    <row r="7" spans="2:23" x14ac:dyDescent="0.3">
      <c r="B7">
        <f>B2-$K$7</f>
        <v>427.33333333333337</v>
      </c>
      <c r="C7">
        <f t="shared" ref="C7:J7" si="0">C2-$K$7</f>
        <v>188</v>
      </c>
      <c r="D7">
        <f t="shared" si="0"/>
        <v>122</v>
      </c>
      <c r="E7">
        <f t="shared" si="0"/>
        <v>103.33333333333337</v>
      </c>
      <c r="F7">
        <f t="shared" si="0"/>
        <v>437</v>
      </c>
      <c r="G7">
        <f t="shared" si="0"/>
        <v>449.66666666666663</v>
      </c>
      <c r="H7">
        <f t="shared" si="0"/>
        <v>336</v>
      </c>
      <c r="I7">
        <f t="shared" si="0"/>
        <v>151</v>
      </c>
      <c r="J7">
        <f t="shared" si="0"/>
        <v>26.666666666666629</v>
      </c>
      <c r="K7">
        <f>MIN(K2:L5)</f>
        <v>555</v>
      </c>
      <c r="N7">
        <v>22.124646889837585</v>
      </c>
      <c r="P7">
        <v>22.124646889837585</v>
      </c>
    </row>
    <row r="8" spans="2:23" x14ac:dyDescent="0.3">
      <c r="B8">
        <f t="shared" ref="B8:J8" si="1">B3-$K$7</f>
        <v>416.33333333333337</v>
      </c>
      <c r="C8">
        <f t="shared" si="1"/>
        <v>147.66666666666663</v>
      </c>
      <c r="D8">
        <f t="shared" si="1"/>
        <v>163</v>
      </c>
      <c r="E8">
        <f t="shared" si="1"/>
        <v>102</v>
      </c>
      <c r="F8">
        <f t="shared" si="1"/>
        <v>432</v>
      </c>
      <c r="G8">
        <f t="shared" si="1"/>
        <v>401.33333333333337</v>
      </c>
      <c r="H8">
        <f t="shared" si="1"/>
        <v>364.33333333333337</v>
      </c>
      <c r="I8">
        <f t="shared" si="1"/>
        <v>362</v>
      </c>
      <c r="J8">
        <f t="shared" si="1"/>
        <v>29.666666666666629</v>
      </c>
      <c r="N8">
        <v>23.92856846718772</v>
      </c>
      <c r="P8">
        <v>23.92856846718772</v>
      </c>
    </row>
    <row r="9" spans="2:23" x14ac:dyDescent="0.3">
      <c r="B9">
        <f t="shared" ref="B9:J9" si="2">B4-$K$7</f>
        <v>486.66666666666674</v>
      </c>
      <c r="C9">
        <f t="shared" si="2"/>
        <v>126.66666666666663</v>
      </c>
      <c r="D9">
        <f t="shared" si="2"/>
        <v>149.66666666666663</v>
      </c>
      <c r="E9">
        <f t="shared" si="2"/>
        <v>63.666666666666629</v>
      </c>
      <c r="F9">
        <f t="shared" si="2"/>
        <v>435.66666666666663</v>
      </c>
      <c r="G9">
        <f t="shared" si="2"/>
        <v>418.66666666666663</v>
      </c>
      <c r="H9">
        <f t="shared" si="2"/>
        <v>410.66666666666663</v>
      </c>
      <c r="I9">
        <f t="shared" si="2"/>
        <v>159.66666666666663</v>
      </c>
      <c r="J9">
        <f t="shared" si="2"/>
        <v>22</v>
      </c>
      <c r="N9">
        <v>17.313089139594833</v>
      </c>
      <c r="P9">
        <v>17.313089139594833</v>
      </c>
    </row>
    <row r="10" spans="2:23" x14ac:dyDescent="0.3">
      <c r="B10">
        <f t="shared" ref="B10:J10" si="3">B5-$K$7</f>
        <v>408</v>
      </c>
      <c r="C10">
        <f t="shared" si="3"/>
        <v>149.66666666666663</v>
      </c>
      <c r="D10">
        <f t="shared" si="3"/>
        <v>188.33333333333337</v>
      </c>
      <c r="E10">
        <f t="shared" si="3"/>
        <v>74</v>
      </c>
      <c r="F10">
        <f t="shared" si="3"/>
        <v>424</v>
      </c>
      <c r="G10">
        <f t="shared" si="3"/>
        <v>402.33333333333337</v>
      </c>
      <c r="H10">
        <f t="shared" si="3"/>
        <v>393</v>
      </c>
      <c r="I10">
        <f t="shared" si="3"/>
        <v>181.66666666666663</v>
      </c>
      <c r="J10">
        <f t="shared" si="3"/>
        <v>33</v>
      </c>
      <c r="N10">
        <v>5.0579969684978332</v>
      </c>
      <c r="P10">
        <v>5.0579969684978332</v>
      </c>
    </row>
    <row r="11" spans="2:23" x14ac:dyDescent="0.3">
      <c r="N11">
        <v>19.534869109136867</v>
      </c>
      <c r="P11">
        <v>19.534869109136867</v>
      </c>
    </row>
    <row r="12" spans="2:23" x14ac:dyDescent="0.3">
      <c r="B12">
        <f t="shared" ref="B12:J12" si="4">AVERAGE(B7:B10)</f>
        <v>434.58333333333337</v>
      </c>
      <c r="C12">
        <f t="shared" si="4"/>
        <v>152.99999999999997</v>
      </c>
      <c r="D12">
        <f t="shared" si="4"/>
        <v>155.75</v>
      </c>
      <c r="E12">
        <f t="shared" si="4"/>
        <v>85.75</v>
      </c>
      <c r="F12">
        <f t="shared" si="4"/>
        <v>432.16666666666663</v>
      </c>
      <c r="G12">
        <f t="shared" si="4"/>
        <v>418</v>
      </c>
      <c r="H12">
        <f t="shared" si="4"/>
        <v>376</v>
      </c>
      <c r="I12">
        <f t="shared" si="4"/>
        <v>213.58333333333331</v>
      </c>
      <c r="J12">
        <f t="shared" si="4"/>
        <v>27.833333333333314</v>
      </c>
      <c r="N12">
        <v>28.40285588144652</v>
      </c>
      <c r="P12">
        <v>28.40285588144652</v>
      </c>
    </row>
    <row r="13" spans="2:23" x14ac:dyDescent="0.3">
      <c r="B13">
        <f>_xlfn.STDEV.P(B7:B10)</f>
        <v>30.842228446653412</v>
      </c>
      <c r="C13">
        <f t="shared" ref="C13:J13" si="5">_xlfn.STDEV.P(C7:C10)</f>
        <v>22.124646889837585</v>
      </c>
      <c r="D13">
        <f t="shared" si="5"/>
        <v>23.92856846718772</v>
      </c>
      <c r="E13">
        <f t="shared" si="5"/>
        <v>17.313089139594833</v>
      </c>
      <c r="F13">
        <f t="shared" si="5"/>
        <v>5.0579969684978332</v>
      </c>
      <c r="G13">
        <f t="shared" si="5"/>
        <v>19.534869109136867</v>
      </c>
      <c r="H13">
        <f t="shared" si="5"/>
        <v>28.40285588144652</v>
      </c>
      <c r="I13">
        <f t="shared" si="5"/>
        <v>86.414496919080548</v>
      </c>
      <c r="J13">
        <f t="shared" si="5"/>
        <v>4.0448870331705296</v>
      </c>
      <c r="N13">
        <v>86.414496919080548</v>
      </c>
      <c r="P13">
        <v>12.908031761295637</v>
      </c>
    </row>
    <row r="14" spans="2:23" x14ac:dyDescent="0.3">
      <c r="B14">
        <f>AVERAGE(B7:B10)</f>
        <v>434.58333333333337</v>
      </c>
      <c r="C14">
        <f t="shared" ref="C14:J14" si="6">AVERAGE(C7:C10)</f>
        <v>152.99999999999997</v>
      </c>
      <c r="D14">
        <f t="shared" si="6"/>
        <v>155.75</v>
      </c>
      <c r="E14">
        <f t="shared" si="6"/>
        <v>85.75</v>
      </c>
      <c r="F14">
        <f t="shared" si="6"/>
        <v>432.16666666666663</v>
      </c>
      <c r="G14">
        <f t="shared" si="6"/>
        <v>418</v>
      </c>
      <c r="H14">
        <f t="shared" si="6"/>
        <v>376</v>
      </c>
      <c r="I14">
        <f>AVERAGE(I7,I9:I10)</f>
        <v>164.11111111111109</v>
      </c>
      <c r="J14">
        <f t="shared" si="6"/>
        <v>27.833333333333314</v>
      </c>
      <c r="N14">
        <v>4.0448870331705296</v>
      </c>
      <c r="P14">
        <v>4.0448870331705296</v>
      </c>
    </row>
    <row r="15" spans="2:23" x14ac:dyDescent="0.3">
      <c r="B15">
        <f>_xlfn.STDEV.P(B7:B10)</f>
        <v>30.842228446653412</v>
      </c>
      <c r="C15">
        <f t="shared" ref="C15:J15" si="7">_xlfn.STDEV.P(C7:C10)</f>
        <v>22.124646889837585</v>
      </c>
      <c r="D15">
        <f t="shared" si="7"/>
        <v>23.92856846718772</v>
      </c>
      <c r="E15">
        <f t="shared" si="7"/>
        <v>17.313089139594833</v>
      </c>
      <c r="F15">
        <f t="shared" si="7"/>
        <v>5.0579969684978332</v>
      </c>
      <c r="G15">
        <f t="shared" si="7"/>
        <v>19.534869109136867</v>
      </c>
      <c r="H15">
        <f t="shared" si="7"/>
        <v>28.40285588144652</v>
      </c>
      <c r="I15">
        <f>_xlfn.STDEV.P(I9:I10,I7)</f>
        <v>12.908031761295637</v>
      </c>
      <c r="J15">
        <f t="shared" si="7"/>
        <v>4.0448870331705296</v>
      </c>
    </row>
  </sheetData>
  <pageMargins left="0.7" right="0.7" top="0.75" bottom="0.75" header="0.3" footer="0.3"/>
  <ignoredErrors>
    <ignoredError sqref="I14:I1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3AF0-C822-4502-BD2F-E304BA811EA9}">
  <dimension ref="A1:E15"/>
  <sheetViews>
    <sheetView tabSelected="1" workbookViewId="0">
      <selection activeCell="B10" sqref="B10:B12"/>
    </sheetView>
  </sheetViews>
  <sheetFormatPr defaultRowHeight="14.4" x14ac:dyDescent="0.3"/>
  <cols>
    <col min="1" max="1" width="12.77734375" bestFit="1" customWidth="1"/>
  </cols>
  <sheetData>
    <row r="1" spans="1:5" x14ac:dyDescent="0.3">
      <c r="B1" t="s">
        <v>25</v>
      </c>
      <c r="C1" t="s">
        <v>27</v>
      </c>
      <c r="D1" t="s">
        <v>26</v>
      </c>
      <c r="E1" t="s">
        <v>28</v>
      </c>
    </row>
    <row r="2" spans="1:5" x14ac:dyDescent="0.3">
      <c r="A2" t="s">
        <v>23</v>
      </c>
      <c r="B2">
        <v>434.58333333333337</v>
      </c>
      <c r="C2">
        <v>30.842228446653412</v>
      </c>
      <c r="D2">
        <v>434.58333333333337</v>
      </c>
      <c r="E2">
        <v>30.842228446653412</v>
      </c>
    </row>
    <row r="3" spans="1:5" x14ac:dyDescent="0.3">
      <c r="A3" t="s">
        <v>29</v>
      </c>
      <c r="B3">
        <v>152.99999999999997</v>
      </c>
      <c r="C3">
        <v>22.124646889837585</v>
      </c>
      <c r="D3">
        <v>152.99999999999997</v>
      </c>
      <c r="E3">
        <v>22.124646889837585</v>
      </c>
    </row>
    <row r="4" spans="1:5" x14ac:dyDescent="0.3">
      <c r="A4" t="s">
        <v>30</v>
      </c>
      <c r="B4">
        <v>155.75</v>
      </c>
      <c r="C4">
        <v>23.92856846718772</v>
      </c>
      <c r="D4">
        <v>155.75</v>
      </c>
      <c r="E4">
        <v>23.92856846718772</v>
      </c>
    </row>
    <row r="5" spans="1:5" x14ac:dyDescent="0.3">
      <c r="A5" t="s">
        <v>31</v>
      </c>
      <c r="B5">
        <v>85.75</v>
      </c>
      <c r="C5">
        <v>17.313089139594833</v>
      </c>
      <c r="D5">
        <v>85.75</v>
      </c>
      <c r="E5">
        <v>17.313089139594833</v>
      </c>
    </row>
    <row r="6" spans="1:5" x14ac:dyDescent="0.3">
      <c r="A6" t="s">
        <v>29</v>
      </c>
      <c r="B6">
        <v>432.16666666666663</v>
      </c>
      <c r="C6">
        <v>5.0579969684978332</v>
      </c>
      <c r="D6">
        <v>432.16666666666663</v>
      </c>
      <c r="E6">
        <v>5.0579969684978332</v>
      </c>
    </row>
    <row r="7" spans="1:5" x14ac:dyDescent="0.3">
      <c r="A7" t="s">
        <v>30</v>
      </c>
      <c r="B7">
        <v>418</v>
      </c>
      <c r="C7">
        <v>19.534869109136867</v>
      </c>
      <c r="D7">
        <v>418</v>
      </c>
      <c r="E7">
        <v>19.534869109136867</v>
      </c>
    </row>
    <row r="8" spans="1:5" x14ac:dyDescent="0.3">
      <c r="A8" t="s">
        <v>31</v>
      </c>
      <c r="B8">
        <v>376</v>
      </c>
      <c r="C8">
        <v>28.40285588144652</v>
      </c>
      <c r="D8">
        <v>376</v>
      </c>
      <c r="E8">
        <v>28.40285588144652</v>
      </c>
    </row>
    <row r="9" spans="1:5" x14ac:dyDescent="0.3">
      <c r="A9" t="s">
        <v>24</v>
      </c>
      <c r="B9">
        <v>27.833333333333314</v>
      </c>
      <c r="C9">
        <v>4.0448870331705296</v>
      </c>
      <c r="D9">
        <v>27.833333333333314</v>
      </c>
      <c r="E9">
        <v>4.0448870331705296</v>
      </c>
    </row>
    <row r="10" spans="1:5" x14ac:dyDescent="0.3">
      <c r="B10">
        <f>B3/B2</f>
        <v>0.35206136145733452</v>
      </c>
    </row>
    <row r="11" spans="1:5" x14ac:dyDescent="0.3">
      <c r="B11">
        <f>B4/B2</f>
        <v>0.35838926174496644</v>
      </c>
    </row>
    <row r="12" spans="1:5" x14ac:dyDescent="0.3">
      <c r="B12">
        <f>B5/B2</f>
        <v>0.19731543624161071</v>
      </c>
    </row>
    <row r="13" spans="1:5" x14ac:dyDescent="0.3">
      <c r="B13">
        <f>B6/B2</f>
        <v>0.9944391179290506</v>
      </c>
    </row>
    <row r="14" spans="1:5" x14ac:dyDescent="0.3">
      <c r="B14">
        <f>B7/B2</f>
        <v>0.96184084372003831</v>
      </c>
    </row>
    <row r="15" spans="1:5" x14ac:dyDescent="0.3">
      <c r="B15">
        <f>B8/B2</f>
        <v>0.86519654841802485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58DA-4886-47F9-AC76-D7BA98CF830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</vt:lpstr>
      <vt:lpstr>R2</vt:lpstr>
      <vt:lpstr>R3</vt:lpstr>
      <vt:lpstr>Result</vt:lpstr>
      <vt:lpstr>Plots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BlerisLab</dc:creator>
  <cp:lastModifiedBy>Zhou, Zikun</cp:lastModifiedBy>
  <dcterms:created xsi:type="dcterms:W3CDTF">2025-08-13T18:07:08Z</dcterms:created>
  <dcterms:modified xsi:type="dcterms:W3CDTF">2026-07-23T21:03:51Z</dcterms:modified>
</cp:coreProperties>
</file>