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UF\StorDNA\Manuscript2\Figures\Data\"/>
    </mc:Choice>
  </mc:AlternateContent>
  <xr:revisionPtr revIDLastSave="0" documentId="13_ncr:1_{71719320-1CEE-48FB-A611-8D1CBA9216C5}" xr6:coauthVersionLast="47" xr6:coauthVersionMax="47" xr10:uidLastSave="{00000000-0000-0000-0000-000000000000}"/>
  <bookViews>
    <workbookView xWindow="-110" yWindow="-110" windowWidth="38620" windowHeight="21100" activeTab="3" xr2:uid="{00000000-000D-0000-FFFF-FFFF00000000}"/>
  </bookViews>
  <sheets>
    <sheet name="R1" sheetId="1" r:id="rId1"/>
    <sheet name="R2" sheetId="2" r:id="rId2"/>
    <sheet name="R3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4" l="1"/>
  <c r="D18" i="4"/>
  <c r="E18" i="4"/>
  <c r="F18" i="4"/>
  <c r="G18" i="4"/>
  <c r="B18" i="4"/>
  <c r="C17" i="4"/>
  <c r="D17" i="4"/>
  <c r="E17" i="4"/>
  <c r="F17" i="4"/>
  <c r="G17" i="4"/>
  <c r="B17" i="4"/>
  <c r="B11" i="4"/>
  <c r="C11" i="4"/>
  <c r="D11" i="4"/>
  <c r="E11" i="4"/>
  <c r="F11" i="4"/>
  <c r="G11" i="4"/>
  <c r="B12" i="4"/>
  <c r="C12" i="4"/>
  <c r="D12" i="4"/>
  <c r="E12" i="4"/>
  <c r="F12" i="4"/>
  <c r="G12" i="4"/>
  <c r="B13" i="4"/>
  <c r="C13" i="4"/>
  <c r="D13" i="4"/>
  <c r="E13" i="4"/>
  <c r="F13" i="4"/>
  <c r="G13" i="4"/>
  <c r="C10" i="4"/>
  <c r="D10" i="4"/>
  <c r="E10" i="4"/>
  <c r="F10" i="4"/>
  <c r="G10" i="4"/>
  <c r="B10" i="4"/>
  <c r="H10" i="4"/>
  <c r="B3" i="4"/>
  <c r="C3" i="4"/>
  <c r="D3" i="4"/>
  <c r="E3" i="4"/>
  <c r="F3" i="4"/>
  <c r="G3" i="4"/>
  <c r="H3" i="4"/>
  <c r="B4" i="4"/>
  <c r="C4" i="4"/>
  <c r="D4" i="4"/>
  <c r="E4" i="4"/>
  <c r="F4" i="4"/>
  <c r="G4" i="4"/>
  <c r="H4" i="4"/>
  <c r="B5" i="4"/>
  <c r="C5" i="4"/>
  <c r="D5" i="4"/>
  <c r="E5" i="4"/>
  <c r="F5" i="4"/>
  <c r="G5" i="4"/>
  <c r="H5" i="4"/>
  <c r="H6" i="4"/>
  <c r="H7" i="4"/>
  <c r="H8" i="4"/>
  <c r="H9" i="4"/>
  <c r="C2" i="4"/>
  <c r="D2" i="4"/>
  <c r="E2" i="4"/>
  <c r="F2" i="4"/>
  <c r="G2" i="4"/>
  <c r="H2" i="4"/>
  <c r="B2" i="4"/>
  <c r="C20" i="1" l="1"/>
  <c r="C21" i="1" s="1"/>
  <c r="D20" i="1"/>
  <c r="D21" i="1" s="1"/>
  <c r="D22" i="1" s="1"/>
  <c r="E20" i="1"/>
  <c r="E21" i="1" s="1"/>
  <c r="F20" i="1"/>
  <c r="F21" i="1" s="1"/>
  <c r="G20" i="1"/>
  <c r="G21" i="1" s="1"/>
  <c r="G22" i="1" s="1"/>
  <c r="B20" i="1"/>
  <c r="B21" i="1" s="1"/>
  <c r="B22" i="1" s="1"/>
  <c r="F22" i="1" l="1"/>
  <c r="E22" i="1"/>
  <c r="C22" i="1"/>
</calcChain>
</file>

<file path=xl/sharedStrings.xml><?xml version="1.0" encoding="utf-8"?>
<sst xmlns="http://schemas.openxmlformats.org/spreadsheetml/2006/main" count="56" uniqueCount="23">
  <si>
    <t>User: USER</t>
  </si>
  <si>
    <t>Path: C:\Program Files (x86)\BMG\Omega\User\Data\</t>
  </si>
  <si>
    <t>Test ID: 705</t>
  </si>
  <si>
    <t>Test Name: RFPSCAN</t>
  </si>
  <si>
    <t>Date: 8/21/2025</t>
  </si>
  <si>
    <t>Time: 2:36:22 PM</t>
  </si>
  <si>
    <t>Fluorescence (FI)</t>
  </si>
  <si>
    <t>Raw Data (Average) (544, 590-10)</t>
  </si>
  <si>
    <t>A</t>
  </si>
  <si>
    <t>B</t>
  </si>
  <si>
    <t>C</t>
  </si>
  <si>
    <t>D</t>
  </si>
  <si>
    <t>E</t>
  </si>
  <si>
    <t>F</t>
  </si>
  <si>
    <t>G</t>
  </si>
  <si>
    <t>H</t>
  </si>
  <si>
    <t xml:space="preserve">     Average</t>
  </si>
  <si>
    <t xml:space="preserve">     of all valid scan points used</t>
  </si>
  <si>
    <t>Test ID: 706</t>
  </si>
  <si>
    <t>Time: 2:40:51 PM</t>
  </si>
  <si>
    <t>ID1: RFPSCAN</t>
  </si>
  <si>
    <t>Test ID: 707</t>
  </si>
  <si>
    <t>Time: 2:44:57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</si>
</sst>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0" xfId="0" applyBorder="1"/>
    <xf numFmtId="0" fontId="0" fillId="0" borderId="11" xfId="0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'R1'!$L$20:$Q$20</c:f>
              <c:numCache>
                <c:formatCode>0%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cat>
          <c:val>
            <c:numRef>
              <c:f>'R1'!$L$21:$Q$21</c:f>
              <c:numCache>
                <c:formatCode>General</c:formatCode>
                <c:ptCount val="6"/>
                <c:pt idx="0">
                  <c:v>71.666666666666629</c:v>
                </c:pt>
                <c:pt idx="1">
                  <c:v>221.66666666666663</c:v>
                </c:pt>
                <c:pt idx="2">
                  <c:v>362.33333333333337</c:v>
                </c:pt>
                <c:pt idx="3">
                  <c:v>518.66666666666674</c:v>
                </c:pt>
                <c:pt idx="4">
                  <c:v>660</c:v>
                </c:pt>
                <c:pt idx="5">
                  <c:v>874.66666666666674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B5-4C83-B5C9-0923BC442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7"/>
        <c:overlap val="-27"/>
        <c:axId val="1469421071"/>
        <c:axId val="1469413871"/>
      </c:barChart>
      <c:catAx>
        <c:axId val="1469421071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13871"/>
        <c:crosses val="autoZero"/>
        <c:auto val="1"/>
        <c:lblAlgn val="ctr"/>
        <c:lblOffset val="100"/>
        <c:noMultiLvlLbl val="0"/>
      </c:catAx>
      <c:valAx>
        <c:axId val="1469413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2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368904765498557E-2"/>
          <c:y val="3.561428548519012E-2"/>
          <c:w val="0.90239947999457815"/>
          <c:h val="0.8353390201224847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067386145421918E-2"/>
                  <c:y val="-4.92311730264486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errBars>
            <c:errBarType val="both"/>
            <c:errValType val="cust"/>
            <c:noEndCap val="0"/>
            <c:plus>
              <c:numRef>
                <c:f>Sheet1!$B$18:$G$18</c:f>
                <c:numCache>
                  <c:formatCode>General</c:formatCode>
                  <c:ptCount val="6"/>
                  <c:pt idx="0">
                    <c:v>5.0518148554092281</c:v>
                  </c:pt>
                  <c:pt idx="1">
                    <c:v>7.8682731410533764</c:v>
                  </c:pt>
                  <c:pt idx="2">
                    <c:v>9.8333333333333268</c:v>
                  </c:pt>
                  <c:pt idx="3">
                    <c:v>20.275018838188277</c:v>
                  </c:pt>
                  <c:pt idx="4">
                    <c:v>27.01902621816291</c:v>
                  </c:pt>
                  <c:pt idx="5">
                    <c:v>19.946282026148829</c:v>
                  </c:pt>
                </c:numCache>
              </c:numRef>
            </c:plus>
            <c:minus>
              <c:numRef>
                <c:f>Sheet1!$B$18:$G$18</c:f>
                <c:numCache>
                  <c:formatCode>General</c:formatCode>
                  <c:ptCount val="6"/>
                  <c:pt idx="0">
                    <c:v>5.0518148554092281</c:v>
                  </c:pt>
                  <c:pt idx="1">
                    <c:v>7.8682731410533764</c:v>
                  </c:pt>
                  <c:pt idx="2">
                    <c:v>9.8333333333333268</c:v>
                  </c:pt>
                  <c:pt idx="3">
                    <c:v>20.275018838188277</c:v>
                  </c:pt>
                  <c:pt idx="4">
                    <c:v>27.01902621816291</c:v>
                  </c:pt>
                  <c:pt idx="5">
                    <c:v>19.946282026148829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Sheet1!$B$16:$G$16</c:f>
              <c:numCache>
                <c:formatCode>0%</c:formatCode>
                <c:ptCount val="6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</c:numCache>
            </c:numRef>
          </c:cat>
          <c:val>
            <c:numRef>
              <c:f>Sheet1!$B$17:$G$17</c:f>
              <c:numCache>
                <c:formatCode>General</c:formatCode>
                <c:ptCount val="6"/>
                <c:pt idx="0">
                  <c:v>64.083333333333286</c:v>
                </c:pt>
                <c:pt idx="1">
                  <c:v>216.24999999999997</c:v>
                </c:pt>
                <c:pt idx="2">
                  <c:v>357.83333333333326</c:v>
                </c:pt>
                <c:pt idx="3">
                  <c:v>509.58333333333337</c:v>
                </c:pt>
                <c:pt idx="4">
                  <c:v>659.16666666666663</c:v>
                </c:pt>
                <c:pt idx="5">
                  <c:v>885.08333333333337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B-4DCF-8FD0-4E5330AF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297282416"/>
        <c:axId val="297281456"/>
      </c:barChart>
      <c:catAx>
        <c:axId val="297282416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7281456"/>
        <c:crosses val="autoZero"/>
        <c:auto val="1"/>
        <c:lblAlgn val="ctr"/>
        <c:lblOffset val="100"/>
        <c:noMultiLvlLbl val="0"/>
      </c:catAx>
      <c:valAx>
        <c:axId val="29728145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97282416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1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</xdr:colOff>
      <xdr:row>10</xdr:row>
      <xdr:rowOff>64770</xdr:rowOff>
    </xdr:from>
    <xdr:to>
      <xdr:col>14</xdr:col>
      <xdr:colOff>358140</xdr:colOff>
      <xdr:row>25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BA869-8A0E-E852-E05B-D9B9D4FC05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388620</xdr:colOff>
      <xdr:row>5</xdr:row>
      <xdr:rowOff>121920</xdr:rowOff>
    </xdr:from>
    <xdr:to>
      <xdr:col>16</xdr:col>
      <xdr:colOff>281940</xdr:colOff>
      <xdr:row>19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2B0F51-B69B-6080-8C55-84D03DC95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Q22"/>
  <sheetViews>
    <sheetView workbookViewId="0">
      <selection activeCell="O24" sqref="O24"/>
    </sheetView>
  </sheetViews>
  <sheetFormatPr defaultRowHeight="14.5" x14ac:dyDescent="0.35"/>
  <cols>
    <col min="1" max="1" width="4.36328125" customWidth="1"/>
    <col min="15" max="15" width="34.6328125" customWidth="1"/>
  </cols>
  <sheetData>
    <row r="3" spans="1:15" x14ac:dyDescent="0.35">
      <c r="A3" t="s">
        <v>0</v>
      </c>
      <c r="D3" t="s">
        <v>1</v>
      </c>
      <c r="K3" t="s">
        <v>2</v>
      </c>
    </row>
    <row r="4" spans="1:15" x14ac:dyDescent="0.35">
      <c r="A4" t="s">
        <v>3</v>
      </c>
      <c r="I4" t="s">
        <v>4</v>
      </c>
      <c r="K4" t="s">
        <v>5</v>
      </c>
    </row>
    <row r="5" spans="1:15" x14ac:dyDescent="0.35">
      <c r="A5" t="s">
        <v>6</v>
      </c>
    </row>
    <row r="9" spans="1:15" x14ac:dyDescent="0.35">
      <c r="B9" t="s">
        <v>7</v>
      </c>
      <c r="O9" s="11"/>
    </row>
    <row r="10" spans="1:15" x14ac:dyDescent="0.35">
      <c r="B10" s="1">
        <v>1</v>
      </c>
      <c r="C10" s="1">
        <v>2</v>
      </c>
      <c r="D10" s="1">
        <v>3</v>
      </c>
      <c r="E10" s="1">
        <v>4</v>
      </c>
      <c r="F10" s="1">
        <v>5</v>
      </c>
      <c r="G10" s="1">
        <v>6</v>
      </c>
      <c r="H10" s="1">
        <v>7</v>
      </c>
      <c r="I10" s="1">
        <v>8</v>
      </c>
      <c r="J10" s="1">
        <v>9</v>
      </c>
      <c r="K10" s="1">
        <v>10</v>
      </c>
      <c r="L10" s="1">
        <v>11</v>
      </c>
      <c r="M10" s="1">
        <v>12</v>
      </c>
      <c r="O10" s="12" t="s">
        <v>16</v>
      </c>
    </row>
    <row r="11" spans="1:15" x14ac:dyDescent="0.35">
      <c r="A11" s="1" t="s">
        <v>8</v>
      </c>
      <c r="B11" s="2">
        <v>645</v>
      </c>
      <c r="C11" s="3">
        <v>786</v>
      </c>
      <c r="D11" s="3">
        <v>914</v>
      </c>
      <c r="E11" s="3">
        <v>1037</v>
      </c>
      <c r="F11" s="3">
        <v>1159</v>
      </c>
      <c r="G11" s="3">
        <v>1390</v>
      </c>
      <c r="H11" s="3">
        <v>816</v>
      </c>
      <c r="I11" s="3"/>
      <c r="J11" s="3"/>
      <c r="K11" s="3"/>
      <c r="L11" s="3"/>
      <c r="M11" s="4"/>
      <c r="O11" s="13" t="s">
        <v>17</v>
      </c>
    </row>
    <row r="12" spans="1:15" x14ac:dyDescent="0.35">
      <c r="A12" s="1" t="s">
        <v>9</v>
      </c>
      <c r="B12" s="5">
        <v>624</v>
      </c>
      <c r="C12" s="6">
        <v>759</v>
      </c>
      <c r="D12" s="6">
        <v>903</v>
      </c>
      <c r="E12" s="6">
        <v>1065</v>
      </c>
      <c r="F12" s="6">
        <v>1200</v>
      </c>
      <c r="G12" s="6">
        <v>1401</v>
      </c>
      <c r="H12" s="6">
        <v>557</v>
      </c>
      <c r="I12" s="6"/>
      <c r="J12" s="6"/>
      <c r="K12" s="6"/>
      <c r="L12" s="6"/>
      <c r="M12" s="7"/>
      <c r="O12" s="14"/>
    </row>
    <row r="13" spans="1:15" x14ac:dyDescent="0.35">
      <c r="A13" s="1" t="s">
        <v>10</v>
      </c>
      <c r="B13" s="5">
        <v>620</v>
      </c>
      <c r="C13" s="6">
        <v>778</v>
      </c>
      <c r="D13" s="6">
        <v>915</v>
      </c>
      <c r="E13" s="6">
        <v>1077</v>
      </c>
      <c r="F13" s="6">
        <v>1215</v>
      </c>
      <c r="G13" s="6">
        <v>1423</v>
      </c>
      <c r="H13" s="6">
        <v>562</v>
      </c>
      <c r="I13" s="6"/>
      <c r="J13" s="6"/>
      <c r="K13" s="6"/>
      <c r="L13" s="6"/>
      <c r="M13" s="7"/>
    </row>
    <row r="14" spans="1:15" x14ac:dyDescent="0.35">
      <c r="A14" s="1" t="s">
        <v>11</v>
      </c>
      <c r="B14" s="5">
        <v>627</v>
      </c>
      <c r="C14" s="6">
        <v>784</v>
      </c>
      <c r="D14" s="6">
        <v>925</v>
      </c>
      <c r="E14" s="6">
        <v>1070</v>
      </c>
      <c r="F14" s="6">
        <v>1221</v>
      </c>
      <c r="G14" s="6">
        <v>1456</v>
      </c>
      <c r="H14" s="6">
        <v>550</v>
      </c>
      <c r="I14" s="6"/>
      <c r="J14" s="6"/>
      <c r="K14" s="6"/>
      <c r="L14" s="6"/>
      <c r="M14" s="7"/>
    </row>
    <row r="15" spans="1:15" x14ac:dyDescent="0.35">
      <c r="A15" s="1" t="s">
        <v>12</v>
      </c>
      <c r="B15" s="5"/>
      <c r="C15" s="6"/>
      <c r="D15" s="6"/>
      <c r="E15" s="6"/>
      <c r="F15" s="6"/>
      <c r="G15" s="6">
        <v>831</v>
      </c>
      <c r="H15" s="6">
        <v>845</v>
      </c>
      <c r="I15" s="6"/>
      <c r="J15" s="6"/>
      <c r="K15" s="6"/>
      <c r="L15" s="6"/>
      <c r="M15" s="7"/>
    </row>
    <row r="16" spans="1:15" x14ac:dyDescent="0.35">
      <c r="A16" s="1" t="s">
        <v>13</v>
      </c>
      <c r="B16" s="5"/>
      <c r="C16" s="6"/>
      <c r="D16" s="6"/>
      <c r="E16" s="6"/>
      <c r="F16" s="6"/>
      <c r="G16" s="6">
        <v>634</v>
      </c>
      <c r="H16" s="6">
        <v>555</v>
      </c>
      <c r="I16" s="6"/>
      <c r="J16" s="6"/>
      <c r="K16" s="6"/>
      <c r="L16" s="6"/>
      <c r="M16" s="7"/>
    </row>
    <row r="17" spans="1:17" x14ac:dyDescent="0.35">
      <c r="A17" s="1" t="s">
        <v>14</v>
      </c>
      <c r="B17" s="5"/>
      <c r="C17" s="6"/>
      <c r="D17" s="6"/>
      <c r="E17" s="6"/>
      <c r="F17" s="6"/>
      <c r="G17" s="6">
        <v>634</v>
      </c>
      <c r="H17" s="6">
        <v>552</v>
      </c>
      <c r="I17" s="6"/>
      <c r="J17" s="6"/>
      <c r="K17" s="6"/>
      <c r="L17" s="6"/>
      <c r="M17" s="7"/>
    </row>
    <row r="18" spans="1:17" x14ac:dyDescent="0.35">
      <c r="A18" s="1" t="s">
        <v>15</v>
      </c>
      <c r="B18" s="8"/>
      <c r="C18" s="9"/>
      <c r="D18" s="9"/>
      <c r="E18" s="9"/>
      <c r="F18" s="9"/>
      <c r="G18" s="9">
        <v>636</v>
      </c>
      <c r="H18" s="9">
        <v>548</v>
      </c>
      <c r="I18" s="9"/>
      <c r="J18" s="9"/>
      <c r="K18" s="9"/>
      <c r="L18" s="9"/>
      <c r="M18" s="10"/>
    </row>
    <row r="20" spans="1:17" x14ac:dyDescent="0.35">
      <c r="B20">
        <f>AVERAGE(B12:B14)</f>
        <v>623.66666666666663</v>
      </c>
      <c r="C20">
        <f t="shared" ref="C20:G20" si="0">AVERAGE(C12:C14)</f>
        <v>773.66666666666663</v>
      </c>
      <c r="D20">
        <f t="shared" si="0"/>
        <v>914.33333333333337</v>
      </c>
      <c r="E20">
        <f t="shared" si="0"/>
        <v>1070.6666666666667</v>
      </c>
      <c r="F20">
        <f t="shared" si="0"/>
        <v>1212</v>
      </c>
      <c r="G20">
        <f t="shared" si="0"/>
        <v>1426.6666666666667</v>
      </c>
      <c r="L20" s="15">
        <v>0</v>
      </c>
      <c r="M20" s="15">
        <v>0.2</v>
      </c>
      <c r="N20" s="15">
        <v>0.4</v>
      </c>
      <c r="O20" s="15">
        <v>0.6</v>
      </c>
      <c r="P20" s="15">
        <v>0.8</v>
      </c>
      <c r="Q20" s="15">
        <v>1</v>
      </c>
    </row>
    <row r="21" spans="1:17" x14ac:dyDescent="0.35">
      <c r="B21">
        <f>B20-552</f>
        <v>71.666666666666629</v>
      </c>
      <c r="C21">
        <f t="shared" ref="C21:G21" si="1">C20-552</f>
        <v>221.66666666666663</v>
      </c>
      <c r="D21">
        <f t="shared" si="1"/>
        <v>362.33333333333337</v>
      </c>
      <c r="E21">
        <f t="shared" si="1"/>
        <v>518.66666666666674</v>
      </c>
      <c r="F21">
        <f t="shared" si="1"/>
        <v>660</v>
      </c>
      <c r="G21">
        <f t="shared" si="1"/>
        <v>874.66666666666674</v>
      </c>
      <c r="L21">
        <v>71.666666666666629</v>
      </c>
      <c r="M21">
        <v>221.66666666666663</v>
      </c>
      <c r="N21">
        <v>362.33333333333337</v>
      </c>
      <c r="O21">
        <v>518.66666666666674</v>
      </c>
      <c r="P21">
        <v>660</v>
      </c>
      <c r="Q21">
        <v>874.66666666666674</v>
      </c>
    </row>
    <row r="22" spans="1:17" x14ac:dyDescent="0.35">
      <c r="B22">
        <f>B21/G21</f>
        <v>8.1935975609756045E-2</v>
      </c>
      <c r="C22">
        <f>C21/G21</f>
        <v>0.25342987804878042</v>
      </c>
      <c r="D22">
        <f>D21/G21</f>
        <v>0.4142530487804878</v>
      </c>
      <c r="E22">
        <f>E21/G21</f>
        <v>0.59298780487804881</v>
      </c>
      <c r="F22">
        <f>F21/G21</f>
        <v>0.75457317073170727</v>
      </c>
      <c r="G22">
        <f>G21/G21</f>
        <v>1</v>
      </c>
    </row>
  </sheetData>
  <pageMargins left="0.7" right="0.7" top="0.75" bottom="0.75" header="0.3" footer="0.3"/>
  <pageSetup paperSize="0" orientation="portrait" horizontalDpi="0" verticalDpi="0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9"/>
  <sheetViews>
    <sheetView workbookViewId="0">
      <selection activeCell="H28" sqref="H28"/>
    </sheetView>
  </sheetViews>
  <sheetFormatPr defaultRowHeight="14.5" x14ac:dyDescent="0.35"/>
  <sheetData>
    <row r="3" spans="1:15" x14ac:dyDescent="0.35">
      <c r="A3" t="s">
        <v>0</v>
      </c>
      <c r="D3" t="s">
        <v>1</v>
      </c>
      <c r="K3" t="s">
        <v>18</v>
      </c>
    </row>
    <row r="4" spans="1:15" x14ac:dyDescent="0.35">
      <c r="A4" t="s">
        <v>3</v>
      </c>
      <c r="I4" t="s">
        <v>4</v>
      </c>
      <c r="K4" t="s">
        <v>19</v>
      </c>
    </row>
    <row r="5" spans="1:15" x14ac:dyDescent="0.35">
      <c r="A5" t="s">
        <v>20</v>
      </c>
    </row>
    <row r="6" spans="1:15" x14ac:dyDescent="0.35">
      <c r="A6" t="s">
        <v>6</v>
      </c>
    </row>
    <row r="10" spans="1:15" x14ac:dyDescent="0.35">
      <c r="B10" t="s">
        <v>7</v>
      </c>
      <c r="O10" s="11"/>
    </row>
    <row r="11" spans="1:15" x14ac:dyDescent="0.35">
      <c r="B11" s="1">
        <v>1</v>
      </c>
      <c r="C11" s="1">
        <v>2</v>
      </c>
      <c r="D11" s="1">
        <v>3</v>
      </c>
      <c r="E11" s="1">
        <v>4</v>
      </c>
      <c r="F11" s="1">
        <v>5</v>
      </c>
      <c r="G11" s="1">
        <v>6</v>
      </c>
      <c r="H11" s="1">
        <v>7</v>
      </c>
      <c r="I11" s="1">
        <v>8</v>
      </c>
      <c r="J11" s="1">
        <v>9</v>
      </c>
      <c r="K11" s="1">
        <v>10</v>
      </c>
      <c r="L11" s="1">
        <v>11</v>
      </c>
      <c r="M11" s="1">
        <v>12</v>
      </c>
      <c r="O11" s="12" t="s">
        <v>16</v>
      </c>
    </row>
    <row r="12" spans="1:15" x14ac:dyDescent="0.35">
      <c r="A12" s="1" t="s">
        <v>8</v>
      </c>
      <c r="B12" s="2">
        <v>625</v>
      </c>
      <c r="C12" s="3">
        <v>769</v>
      </c>
      <c r="D12" s="3">
        <v>892</v>
      </c>
      <c r="E12" s="3">
        <v>1026</v>
      </c>
      <c r="F12" s="3">
        <v>1173</v>
      </c>
      <c r="G12" s="3">
        <v>1431</v>
      </c>
      <c r="H12" s="3">
        <v>818</v>
      </c>
      <c r="I12" s="3"/>
      <c r="J12" s="3"/>
      <c r="K12" s="3"/>
      <c r="L12" s="3"/>
      <c r="M12" s="4"/>
      <c r="O12" s="13" t="s">
        <v>17</v>
      </c>
    </row>
    <row r="13" spans="1:15" x14ac:dyDescent="0.35">
      <c r="A13" s="1" t="s">
        <v>9</v>
      </c>
      <c r="B13" s="5">
        <v>612</v>
      </c>
      <c r="C13" s="6">
        <v>758</v>
      </c>
      <c r="D13" s="6">
        <v>908</v>
      </c>
      <c r="E13" s="6">
        <v>1070</v>
      </c>
      <c r="F13" s="6">
        <v>1220</v>
      </c>
      <c r="G13" s="6">
        <v>1431</v>
      </c>
      <c r="H13" s="6">
        <v>560</v>
      </c>
      <c r="I13" s="6"/>
      <c r="J13" s="6"/>
      <c r="K13" s="6"/>
      <c r="L13" s="6"/>
      <c r="M13" s="7"/>
      <c r="O13" s="14"/>
    </row>
    <row r="14" spans="1:15" x14ac:dyDescent="0.35">
      <c r="A14" s="1" t="s">
        <v>10</v>
      </c>
      <c r="B14" s="5">
        <v>612</v>
      </c>
      <c r="C14" s="6">
        <v>777</v>
      </c>
      <c r="D14" s="6">
        <v>920</v>
      </c>
      <c r="E14" s="6">
        <v>1089</v>
      </c>
      <c r="F14" s="6">
        <v>1235</v>
      </c>
      <c r="G14" s="6">
        <v>1452</v>
      </c>
      <c r="H14" s="6">
        <v>562</v>
      </c>
      <c r="I14" s="6"/>
      <c r="J14" s="6"/>
      <c r="K14" s="6"/>
      <c r="L14" s="6"/>
      <c r="M14" s="7"/>
    </row>
    <row r="15" spans="1:15" x14ac:dyDescent="0.35">
      <c r="A15" s="1" t="s">
        <v>11</v>
      </c>
      <c r="B15" s="5">
        <v>609</v>
      </c>
      <c r="C15" s="6">
        <v>773</v>
      </c>
      <c r="D15" s="6">
        <v>922</v>
      </c>
      <c r="E15" s="6">
        <v>1071</v>
      </c>
      <c r="F15" s="6">
        <v>1246</v>
      </c>
      <c r="G15" s="6">
        <v>1468</v>
      </c>
      <c r="H15" s="6">
        <v>556</v>
      </c>
      <c r="I15" s="6"/>
      <c r="J15" s="6"/>
      <c r="K15" s="6"/>
      <c r="L15" s="6"/>
      <c r="M15" s="7"/>
    </row>
    <row r="16" spans="1:15" x14ac:dyDescent="0.35">
      <c r="A16" s="1" t="s">
        <v>12</v>
      </c>
      <c r="B16" s="5"/>
      <c r="C16" s="6"/>
      <c r="D16" s="6"/>
      <c r="E16" s="6"/>
      <c r="F16" s="6"/>
      <c r="G16" s="6">
        <v>846</v>
      </c>
      <c r="H16" s="6">
        <v>850</v>
      </c>
      <c r="I16" s="6"/>
      <c r="J16" s="6"/>
      <c r="K16" s="6"/>
      <c r="L16" s="6"/>
      <c r="M16" s="7"/>
    </row>
    <row r="17" spans="1:13" x14ac:dyDescent="0.35">
      <c r="A17" s="1" t="s">
        <v>13</v>
      </c>
      <c r="B17" s="5"/>
      <c r="C17" s="6"/>
      <c r="D17" s="6"/>
      <c r="E17" s="6"/>
      <c r="F17" s="6"/>
      <c r="G17" s="6">
        <v>621</v>
      </c>
      <c r="H17" s="6">
        <v>563</v>
      </c>
      <c r="I17" s="6"/>
      <c r="J17" s="6"/>
      <c r="K17" s="6"/>
      <c r="L17" s="6"/>
      <c r="M17" s="7"/>
    </row>
    <row r="18" spans="1:13" x14ac:dyDescent="0.35">
      <c r="A18" s="1" t="s">
        <v>14</v>
      </c>
      <c r="B18" s="5"/>
      <c r="C18" s="6"/>
      <c r="D18" s="6"/>
      <c r="E18" s="6"/>
      <c r="F18" s="6"/>
      <c r="G18" s="6">
        <v>620</v>
      </c>
      <c r="H18" s="6">
        <v>558</v>
      </c>
      <c r="I18" s="6"/>
      <c r="J18" s="6"/>
      <c r="K18" s="6"/>
      <c r="L18" s="6"/>
      <c r="M18" s="7"/>
    </row>
    <row r="19" spans="1:13" x14ac:dyDescent="0.35">
      <c r="A19" s="1" t="s">
        <v>15</v>
      </c>
      <c r="B19" s="8"/>
      <c r="C19" s="9"/>
      <c r="D19" s="9"/>
      <c r="E19" s="9"/>
      <c r="F19" s="9"/>
      <c r="G19" s="9">
        <v>611</v>
      </c>
      <c r="H19" s="9">
        <v>555</v>
      </c>
      <c r="I19" s="9"/>
      <c r="J19" s="9"/>
      <c r="K19" s="9"/>
      <c r="L19" s="9"/>
      <c r="M19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O19"/>
  <sheetViews>
    <sheetView workbookViewId="0">
      <selection activeCell="H22" sqref="H22"/>
    </sheetView>
  </sheetViews>
  <sheetFormatPr defaultRowHeight="14.5" x14ac:dyDescent="0.35"/>
  <sheetData>
    <row r="3" spans="1:15" x14ac:dyDescent="0.35">
      <c r="A3" t="s">
        <v>0</v>
      </c>
      <c r="D3" t="s">
        <v>1</v>
      </c>
      <c r="K3" t="s">
        <v>21</v>
      </c>
    </row>
    <row r="4" spans="1:15" x14ac:dyDescent="0.35">
      <c r="A4" t="s">
        <v>3</v>
      </c>
      <c r="I4" t="s">
        <v>4</v>
      </c>
      <c r="K4" t="s">
        <v>22</v>
      </c>
    </row>
    <row r="5" spans="1:15" x14ac:dyDescent="0.35">
      <c r="A5" t="s">
        <v>20</v>
      </c>
    </row>
    <row r="6" spans="1:15" x14ac:dyDescent="0.35">
      <c r="A6" t="s">
        <v>6</v>
      </c>
    </row>
    <row r="10" spans="1:15" x14ac:dyDescent="0.35">
      <c r="B10" t="s">
        <v>7</v>
      </c>
      <c r="O10" s="11"/>
    </row>
    <row r="11" spans="1:15" x14ac:dyDescent="0.35">
      <c r="B11" s="1">
        <v>1</v>
      </c>
      <c r="C11" s="1">
        <v>2</v>
      </c>
      <c r="D11" s="1">
        <v>3</v>
      </c>
      <c r="E11" s="1">
        <v>4</v>
      </c>
      <c r="F11" s="1">
        <v>5</v>
      </c>
      <c r="G11" s="1">
        <v>6</v>
      </c>
      <c r="H11" s="1">
        <v>7</v>
      </c>
      <c r="I11" s="1">
        <v>8</v>
      </c>
      <c r="J11" s="1">
        <v>9</v>
      </c>
      <c r="K11" s="1">
        <v>10</v>
      </c>
      <c r="L11" s="1">
        <v>11</v>
      </c>
      <c r="M11" s="1">
        <v>12</v>
      </c>
      <c r="O11" s="12" t="s">
        <v>16</v>
      </c>
    </row>
    <row r="12" spans="1:15" x14ac:dyDescent="0.35">
      <c r="A12" s="1" t="s">
        <v>8</v>
      </c>
      <c r="B12" s="2">
        <v>608</v>
      </c>
      <c r="C12" s="3">
        <v>758</v>
      </c>
      <c r="D12" s="3">
        <v>886</v>
      </c>
      <c r="E12" s="3">
        <v>1024</v>
      </c>
      <c r="F12" s="3">
        <v>1171</v>
      </c>
      <c r="G12" s="3">
        <v>1421</v>
      </c>
      <c r="H12" s="3">
        <v>830</v>
      </c>
      <c r="I12" s="3"/>
      <c r="J12" s="3"/>
      <c r="K12" s="3"/>
      <c r="L12" s="3"/>
      <c r="M12" s="4"/>
      <c r="O12" s="13" t="s">
        <v>17</v>
      </c>
    </row>
    <row r="13" spans="1:15" x14ac:dyDescent="0.35">
      <c r="A13" s="1" t="s">
        <v>9</v>
      </c>
      <c r="B13" s="5">
        <v>609</v>
      </c>
      <c r="C13" s="6">
        <v>752</v>
      </c>
      <c r="D13" s="6">
        <v>910</v>
      </c>
      <c r="E13" s="6">
        <v>1071</v>
      </c>
      <c r="F13" s="6">
        <v>1227</v>
      </c>
      <c r="G13" s="6">
        <v>1452</v>
      </c>
      <c r="H13" s="6">
        <v>559</v>
      </c>
      <c r="I13" s="6"/>
      <c r="J13" s="6"/>
      <c r="K13" s="6"/>
      <c r="L13" s="6"/>
      <c r="M13" s="7"/>
      <c r="O13" s="14"/>
    </row>
    <row r="14" spans="1:15" x14ac:dyDescent="0.35">
      <c r="A14" s="1" t="s">
        <v>10</v>
      </c>
      <c r="B14" s="5">
        <v>607</v>
      </c>
      <c r="C14" s="6">
        <v>771</v>
      </c>
      <c r="D14" s="6">
        <v>917</v>
      </c>
      <c r="E14" s="6">
        <v>1082</v>
      </c>
      <c r="F14" s="6">
        <v>1238</v>
      </c>
      <c r="G14" s="6">
        <v>1457</v>
      </c>
      <c r="H14" s="6">
        <v>561</v>
      </c>
      <c r="I14" s="6"/>
      <c r="J14" s="6"/>
      <c r="K14" s="6"/>
      <c r="L14" s="6"/>
      <c r="M14" s="7"/>
    </row>
    <row r="15" spans="1:15" x14ac:dyDescent="0.35">
      <c r="A15" s="1" t="s">
        <v>11</v>
      </c>
      <c r="B15" s="5">
        <v>611</v>
      </c>
      <c r="C15" s="6">
        <v>770</v>
      </c>
      <c r="D15" s="6">
        <v>922</v>
      </c>
      <c r="E15" s="6">
        <v>1073</v>
      </c>
      <c r="F15" s="6">
        <v>1245</v>
      </c>
      <c r="G15" s="6">
        <v>1479</v>
      </c>
      <c r="H15" s="6">
        <v>560</v>
      </c>
      <c r="I15" s="6"/>
      <c r="J15" s="6"/>
      <c r="K15" s="6"/>
      <c r="L15" s="6"/>
      <c r="M15" s="7"/>
    </row>
    <row r="16" spans="1:15" x14ac:dyDescent="0.35">
      <c r="A16" s="1" t="s">
        <v>12</v>
      </c>
      <c r="B16" s="5"/>
      <c r="C16" s="6"/>
      <c r="D16" s="6"/>
      <c r="E16" s="6"/>
      <c r="F16" s="6"/>
      <c r="G16" s="6">
        <v>851</v>
      </c>
      <c r="H16" s="6">
        <v>859</v>
      </c>
      <c r="I16" s="6"/>
      <c r="J16" s="6"/>
      <c r="K16" s="6"/>
      <c r="L16" s="6"/>
      <c r="M16" s="7"/>
    </row>
    <row r="17" spans="1:13" x14ac:dyDescent="0.35">
      <c r="A17" s="1" t="s">
        <v>13</v>
      </c>
      <c r="B17" s="5"/>
      <c r="C17" s="6"/>
      <c r="D17" s="6"/>
      <c r="E17" s="6"/>
      <c r="F17" s="6"/>
      <c r="G17" s="6">
        <v>609</v>
      </c>
      <c r="H17" s="6">
        <v>561</v>
      </c>
      <c r="I17" s="6"/>
      <c r="J17" s="6"/>
      <c r="K17" s="6"/>
      <c r="L17" s="6"/>
      <c r="M17" s="7"/>
    </row>
    <row r="18" spans="1:13" x14ac:dyDescent="0.35">
      <c r="A18" s="1" t="s">
        <v>14</v>
      </c>
      <c r="B18" s="5"/>
      <c r="C18" s="6"/>
      <c r="D18" s="6"/>
      <c r="E18" s="6"/>
      <c r="F18" s="6"/>
      <c r="G18" s="6">
        <v>615</v>
      </c>
      <c r="H18" s="6">
        <v>561</v>
      </c>
      <c r="I18" s="6"/>
      <c r="J18" s="6"/>
      <c r="K18" s="6"/>
      <c r="L18" s="6"/>
      <c r="M18" s="7"/>
    </row>
    <row r="19" spans="1:13" x14ac:dyDescent="0.35">
      <c r="A19" s="1" t="s">
        <v>15</v>
      </c>
      <c r="B19" s="8"/>
      <c r="C19" s="9"/>
      <c r="D19" s="9"/>
      <c r="E19" s="9"/>
      <c r="F19" s="9"/>
      <c r="G19" s="9">
        <v>601</v>
      </c>
      <c r="H19" s="9">
        <v>557</v>
      </c>
      <c r="I19" s="9"/>
      <c r="J19" s="9"/>
      <c r="K19" s="9"/>
      <c r="L19" s="9"/>
      <c r="M19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1A0AC-2A7D-4BD5-AF44-645BCAE248CD}">
  <dimension ref="B2:H18"/>
  <sheetViews>
    <sheetView tabSelected="1" workbookViewId="0">
      <selection activeCell="K7" sqref="K7"/>
    </sheetView>
  </sheetViews>
  <sheetFormatPr defaultRowHeight="14.5" x14ac:dyDescent="0.35"/>
  <sheetData>
    <row r="2" spans="2:8" x14ac:dyDescent="0.35">
      <c r="B2">
        <f>AVERAGE('R1'!B11,'R2'!B12,'R3'!B12)</f>
        <v>626</v>
      </c>
      <c r="C2">
        <f>AVERAGE('R1'!C11,'R2'!C12,'R3'!C12)</f>
        <v>771</v>
      </c>
      <c r="D2">
        <f>AVERAGE('R1'!D11,'R2'!D12,'R3'!D12)</f>
        <v>897.33333333333337</v>
      </c>
      <c r="E2">
        <f>AVERAGE('R1'!E11,'R2'!E12,'R3'!E12)</f>
        <v>1029</v>
      </c>
      <c r="F2">
        <f>AVERAGE('R1'!F11,'R2'!F12,'R3'!F12)</f>
        <v>1167.6666666666667</v>
      </c>
      <c r="G2">
        <f>AVERAGE('R1'!G11,'R2'!G12,'R3'!G12)</f>
        <v>1414</v>
      </c>
      <c r="H2">
        <f>AVERAGE('R1'!H11,'R2'!H12,'R3'!H12)</f>
        <v>821.33333333333337</v>
      </c>
    </row>
    <row r="3" spans="2:8" x14ac:dyDescent="0.35">
      <c r="B3">
        <f>AVERAGE('R1'!B12,'R2'!B13,'R3'!B13)</f>
        <v>615</v>
      </c>
      <c r="C3">
        <f>AVERAGE('R1'!C12,'R2'!C13,'R3'!C13)</f>
        <v>756.33333333333337</v>
      </c>
      <c r="D3">
        <f>AVERAGE('R1'!D12,'R2'!D13,'R3'!D13)</f>
        <v>907</v>
      </c>
      <c r="E3">
        <f>AVERAGE('R1'!E12,'R2'!E13,'R3'!E13)</f>
        <v>1068.6666666666667</v>
      </c>
      <c r="F3">
        <f>AVERAGE('R1'!F12,'R2'!F13,'R3'!F13)</f>
        <v>1215.6666666666667</v>
      </c>
      <c r="G3">
        <f>AVERAGE('R1'!G12,'R2'!G13,'R3'!G13)</f>
        <v>1428</v>
      </c>
      <c r="H3">
        <f>AVERAGE('R1'!H12,'R2'!H13,'R3'!H13)</f>
        <v>558.66666666666663</v>
      </c>
    </row>
    <row r="4" spans="2:8" x14ac:dyDescent="0.35">
      <c r="B4">
        <f>AVERAGE('R1'!B13,'R2'!B14,'R3'!B14)</f>
        <v>613</v>
      </c>
      <c r="C4">
        <f>AVERAGE('R1'!C13,'R2'!C14,'R3'!C14)</f>
        <v>775.33333333333337</v>
      </c>
      <c r="D4">
        <f>AVERAGE('R1'!D13,'R2'!D14,'R3'!D14)</f>
        <v>917.33333333333337</v>
      </c>
      <c r="E4">
        <f>AVERAGE('R1'!E13,'R2'!E14,'R3'!E14)</f>
        <v>1082.6666666666667</v>
      </c>
      <c r="F4">
        <f>AVERAGE('R1'!F13,'R2'!F14,'R3'!F14)</f>
        <v>1229.3333333333333</v>
      </c>
      <c r="G4">
        <f>AVERAGE('R1'!G13,'R2'!G14,'R3'!G14)</f>
        <v>1444</v>
      </c>
      <c r="H4">
        <f>AVERAGE('R1'!H13,'R2'!H14,'R3'!H14)</f>
        <v>561.66666666666663</v>
      </c>
    </row>
    <row r="5" spans="2:8" x14ac:dyDescent="0.35">
      <c r="B5">
        <f>AVERAGE('R1'!B14,'R2'!B15,'R3'!B15)</f>
        <v>615.66666666666663</v>
      </c>
      <c r="C5">
        <f>AVERAGE('R1'!C14,'R2'!C15,'R3'!C15)</f>
        <v>775.66666666666663</v>
      </c>
      <c r="D5">
        <f>AVERAGE('R1'!D14,'R2'!D15,'R3'!D15)</f>
        <v>923</v>
      </c>
      <c r="E5">
        <f>AVERAGE('R1'!E14,'R2'!E15,'R3'!E15)</f>
        <v>1071.3333333333333</v>
      </c>
      <c r="F5">
        <f>AVERAGE('R1'!F14,'R2'!F15,'R3'!F15)</f>
        <v>1237.3333333333333</v>
      </c>
      <c r="G5">
        <f>AVERAGE('R1'!G14,'R2'!G15,'R3'!G15)</f>
        <v>1467.6666666666667</v>
      </c>
      <c r="H5">
        <f>AVERAGE('R1'!H14,'R2'!H15,'R3'!H15)</f>
        <v>555.33333333333337</v>
      </c>
    </row>
    <row r="6" spans="2:8" x14ac:dyDescent="0.35">
      <c r="H6">
        <f>AVERAGE('R1'!H15,'R2'!H16,'R3'!H16)</f>
        <v>851.33333333333337</v>
      </c>
    </row>
    <row r="7" spans="2:8" x14ac:dyDescent="0.35">
      <c r="H7">
        <f>AVERAGE('R1'!H16,'R2'!H17,'R3'!H17)</f>
        <v>559.66666666666663</v>
      </c>
    </row>
    <row r="8" spans="2:8" x14ac:dyDescent="0.35">
      <c r="H8">
        <f>AVERAGE('R1'!H17,'R2'!H18,'R3'!H18)</f>
        <v>557</v>
      </c>
    </row>
    <row r="9" spans="2:8" x14ac:dyDescent="0.35">
      <c r="H9">
        <f>AVERAGE('R1'!H18,'R2'!H19,'R3'!H19)</f>
        <v>553.33333333333337</v>
      </c>
    </row>
    <row r="10" spans="2:8" x14ac:dyDescent="0.35">
      <c r="B10">
        <f>B2-$H$10</f>
        <v>72.666666666666629</v>
      </c>
      <c r="C10">
        <f t="shared" ref="C10:G10" si="0">C2-$H$10</f>
        <v>217.66666666666663</v>
      </c>
      <c r="D10">
        <f t="shared" si="0"/>
        <v>344</v>
      </c>
      <c r="E10">
        <f t="shared" si="0"/>
        <v>475.66666666666663</v>
      </c>
      <c r="F10">
        <f t="shared" si="0"/>
        <v>614.33333333333337</v>
      </c>
      <c r="G10">
        <f t="shared" si="0"/>
        <v>860.66666666666663</v>
      </c>
      <c r="H10">
        <f>MIN(H2:H9)</f>
        <v>553.33333333333337</v>
      </c>
    </row>
    <row r="11" spans="2:8" x14ac:dyDescent="0.35">
      <c r="B11">
        <f t="shared" ref="B11:G11" si="1">B3-$H$10</f>
        <v>61.666666666666629</v>
      </c>
      <c r="C11">
        <f t="shared" si="1"/>
        <v>203</v>
      </c>
      <c r="D11">
        <f t="shared" si="1"/>
        <v>353.66666666666663</v>
      </c>
      <c r="E11">
        <f t="shared" si="1"/>
        <v>515.33333333333337</v>
      </c>
      <c r="F11">
        <f t="shared" si="1"/>
        <v>662.33333333333337</v>
      </c>
      <c r="G11">
        <f t="shared" si="1"/>
        <v>874.66666666666663</v>
      </c>
    </row>
    <row r="12" spans="2:8" x14ac:dyDescent="0.35">
      <c r="B12">
        <f t="shared" ref="B12:G12" si="2">B4-$H$10</f>
        <v>59.666666666666629</v>
      </c>
      <c r="C12">
        <f t="shared" si="2"/>
        <v>222</v>
      </c>
      <c r="D12">
        <f t="shared" si="2"/>
        <v>364</v>
      </c>
      <c r="E12">
        <f t="shared" si="2"/>
        <v>529.33333333333337</v>
      </c>
      <c r="F12">
        <f t="shared" si="2"/>
        <v>675.99999999999989</v>
      </c>
      <c r="G12">
        <f t="shared" si="2"/>
        <v>890.66666666666663</v>
      </c>
    </row>
    <row r="13" spans="2:8" x14ac:dyDescent="0.35">
      <c r="B13">
        <f t="shared" ref="B13:G13" si="3">B5-$H$10</f>
        <v>62.333333333333258</v>
      </c>
      <c r="C13">
        <f t="shared" si="3"/>
        <v>222.33333333333326</v>
      </c>
      <c r="D13">
        <f t="shared" si="3"/>
        <v>369.66666666666663</v>
      </c>
      <c r="E13">
        <f t="shared" si="3"/>
        <v>517.99999999999989</v>
      </c>
      <c r="F13">
        <f t="shared" si="3"/>
        <v>683.99999999999989</v>
      </c>
      <c r="G13">
        <f t="shared" si="3"/>
        <v>914.33333333333337</v>
      </c>
    </row>
    <row r="16" spans="2:8" x14ac:dyDescent="0.35">
      <c r="B16" s="15">
        <v>0</v>
      </c>
      <c r="C16" s="15">
        <v>0.2</v>
      </c>
      <c r="D16" s="15">
        <v>0.4</v>
      </c>
      <c r="E16" s="15">
        <v>0.6</v>
      </c>
      <c r="F16" s="15">
        <v>0.8</v>
      </c>
      <c r="G16" s="15">
        <v>1</v>
      </c>
    </row>
    <row r="17" spans="2:7" x14ac:dyDescent="0.35">
      <c r="B17">
        <f t="shared" ref="B17:G17" si="4">AVERAGE(B10:B13)</f>
        <v>64.083333333333286</v>
      </c>
      <c r="C17">
        <f t="shared" si="4"/>
        <v>216.24999999999997</v>
      </c>
      <c r="D17">
        <f t="shared" si="4"/>
        <v>357.83333333333326</v>
      </c>
      <c r="E17">
        <f t="shared" si="4"/>
        <v>509.58333333333337</v>
      </c>
      <c r="F17">
        <f t="shared" si="4"/>
        <v>659.16666666666663</v>
      </c>
      <c r="G17">
        <f t="shared" si="4"/>
        <v>885.08333333333337</v>
      </c>
    </row>
    <row r="18" spans="2:7" x14ac:dyDescent="0.35">
      <c r="B18">
        <f t="shared" ref="B18:G18" si="5">_xlfn.STDEV.P(B10:B13)</f>
        <v>5.0518148554092281</v>
      </c>
      <c r="C18">
        <f t="shared" si="5"/>
        <v>7.8682731410533764</v>
      </c>
      <c r="D18">
        <f t="shared" si="5"/>
        <v>9.8333333333333268</v>
      </c>
      <c r="E18">
        <f t="shared" si="5"/>
        <v>20.275018838188277</v>
      </c>
      <c r="F18">
        <f t="shared" si="5"/>
        <v>27.01902621816291</v>
      </c>
      <c r="G18">
        <f t="shared" si="5"/>
        <v>19.946282026148829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R1</vt:lpstr>
      <vt:lpstr>R2</vt:lpstr>
      <vt:lpstr>R3</vt:lpstr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BlerisLab</dc:creator>
  <cp:lastModifiedBy>Zhou, Zikun</cp:lastModifiedBy>
  <dcterms:created xsi:type="dcterms:W3CDTF">2025-08-21T19:40:27Z</dcterms:created>
  <dcterms:modified xsi:type="dcterms:W3CDTF">2026-07-24T04:08:52Z</dcterms:modified>
</cp:coreProperties>
</file>