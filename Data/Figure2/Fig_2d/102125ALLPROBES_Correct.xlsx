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F\StorDNA\Printing\"/>
    </mc:Choice>
  </mc:AlternateContent>
  <xr:revisionPtr revIDLastSave="0" documentId="13_ncr:1_{E5F4889E-C3A9-4B48-A5D9-34621FFD2C03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R1" sheetId="1" r:id="rId1"/>
    <sheet name="R2" sheetId="2" r:id="rId2"/>
    <sheet name="R3" sheetId="3" r:id="rId3"/>
    <sheet name="Result" sheetId="4" r:id="rId4"/>
    <sheet name="Heatm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C21" i="4"/>
  <c r="B23" i="4"/>
  <c r="B2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B22" i="4" s="1"/>
  <c r="C15" i="4"/>
  <c r="B24" i="4" s="1"/>
  <c r="D15" i="4"/>
  <c r="E15" i="4"/>
  <c r="F15" i="4"/>
  <c r="D22" i="4" s="1"/>
  <c r="G15" i="4"/>
  <c r="D24" i="4" s="1"/>
  <c r="B16" i="4"/>
  <c r="C16" i="4"/>
  <c r="D16" i="4"/>
  <c r="C22" i="4" s="1"/>
  <c r="E16" i="4"/>
  <c r="F16" i="4"/>
  <c r="G16" i="4"/>
  <c r="B17" i="4"/>
  <c r="C17" i="4"/>
  <c r="D17" i="4"/>
  <c r="E17" i="4"/>
  <c r="C24" i="4" s="1"/>
  <c r="F17" i="4"/>
  <c r="G17" i="4"/>
  <c r="B18" i="4"/>
  <c r="C18" i="4"/>
  <c r="D18" i="4"/>
  <c r="E18" i="4"/>
  <c r="F18" i="4"/>
  <c r="G18" i="4"/>
  <c r="C11" i="4"/>
  <c r="D11" i="4"/>
  <c r="E11" i="4"/>
  <c r="C23" i="4" s="1"/>
  <c r="F11" i="4"/>
  <c r="D21" i="4" s="1"/>
  <c r="G11" i="4"/>
  <c r="D23" i="4" s="1"/>
  <c r="B11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J2" i="4"/>
  <c r="I2" i="4"/>
  <c r="B3" i="4"/>
  <c r="C3" i="4"/>
  <c r="D3" i="4"/>
  <c r="E3" i="4"/>
  <c r="F3" i="4"/>
  <c r="G3" i="4"/>
  <c r="B4" i="4"/>
  <c r="C4" i="4"/>
  <c r="D4" i="4"/>
  <c r="E4" i="4"/>
  <c r="F4" i="4"/>
  <c r="G4" i="4"/>
  <c r="B5" i="4"/>
  <c r="C5" i="4"/>
  <c r="D5" i="4"/>
  <c r="E5" i="4"/>
  <c r="F5" i="4"/>
  <c r="G5" i="4"/>
  <c r="B6" i="4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C2" i="4"/>
  <c r="D2" i="4"/>
  <c r="E2" i="4"/>
  <c r="F2" i="4"/>
  <c r="G2" i="4"/>
  <c r="B2" i="4"/>
</calcChain>
</file>

<file path=xl/sharedStrings.xml><?xml version="1.0" encoding="utf-8"?>
<sst xmlns="http://schemas.openxmlformats.org/spreadsheetml/2006/main" count="74" uniqueCount="31">
  <si>
    <t>User: USER</t>
  </si>
  <si>
    <t>Path: C:\Program Files (x86)\BMG\Omega\User\Data\</t>
  </si>
  <si>
    <t>Test ID: 753</t>
  </si>
  <si>
    <t>Test Name: RFPSCAN</t>
  </si>
  <si>
    <t>Date: 10/21/2025</t>
  </si>
  <si>
    <t>Time: 1:09:15 PM</t>
  </si>
  <si>
    <t>ID1: RFPSCAN</t>
  </si>
  <si>
    <t>Fluorescence (FI)</t>
  </si>
  <si>
    <t>Gray fields contain unused values</t>
  </si>
  <si>
    <t>Raw Data (Average) (544, 590-10)</t>
  </si>
  <si>
    <t>A</t>
  </si>
  <si>
    <t>B</t>
  </si>
  <si>
    <t>C</t>
  </si>
  <si>
    <t>D</t>
  </si>
  <si>
    <t>E</t>
  </si>
  <si>
    <t>F</t>
  </si>
  <si>
    <t>G</t>
  </si>
  <si>
    <t>H</t>
  </si>
  <si>
    <t xml:space="preserve">     Average</t>
  </si>
  <si>
    <t xml:space="preserve">     of all valid scan points used</t>
  </si>
  <si>
    <t>Test ID: 754</t>
  </si>
  <si>
    <t>Time: 1:17:31 PM</t>
  </si>
  <si>
    <t>Test ID: 755</t>
  </si>
  <si>
    <t>Time: 1:24:00 PM</t>
  </si>
  <si>
    <t>Probe1</t>
  </si>
  <si>
    <t>Probe2</t>
  </si>
  <si>
    <t>Probe3</t>
  </si>
  <si>
    <t>Buffer</t>
  </si>
  <si>
    <t>Target1</t>
  </si>
  <si>
    <t>Target2</t>
  </si>
  <si>
    <t>Target3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</si>
</sst>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9"/>
  <sheetViews>
    <sheetView workbookViewId="0">
      <selection activeCell="D32" sqref="D32"/>
    </sheetView>
  </sheetViews>
  <sheetFormatPr defaultRowHeight="14.4" x14ac:dyDescent="0.3"/>
  <cols>
    <col min="1" max="1" width="4.33203125" customWidth="1"/>
    <col min="15" max="15" width="34.6640625" customWidth="1"/>
  </cols>
  <sheetData>
    <row r="3" spans="1:15" x14ac:dyDescent="0.3">
      <c r="A3" t="s">
        <v>0</v>
      </c>
      <c r="D3" t="s">
        <v>1</v>
      </c>
      <c r="K3" t="s">
        <v>2</v>
      </c>
    </row>
    <row r="4" spans="1:15" x14ac:dyDescent="0.3">
      <c r="A4" t="s">
        <v>3</v>
      </c>
      <c r="I4" t="s">
        <v>4</v>
      </c>
      <c r="K4" t="s">
        <v>5</v>
      </c>
    </row>
    <row r="5" spans="1:15" x14ac:dyDescent="0.3">
      <c r="A5" t="s">
        <v>6</v>
      </c>
    </row>
    <row r="6" spans="1:15" x14ac:dyDescent="0.3">
      <c r="A6" t="s">
        <v>7</v>
      </c>
    </row>
    <row r="7" spans="1:15" x14ac:dyDescent="0.3">
      <c r="A7" t="s">
        <v>8</v>
      </c>
    </row>
    <row r="10" spans="1:15" x14ac:dyDescent="0.3">
      <c r="B10" t="s">
        <v>9</v>
      </c>
      <c r="O10" s="11"/>
    </row>
    <row r="11" spans="1:15" x14ac:dyDescent="0.3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O11" s="12" t="s">
        <v>18</v>
      </c>
    </row>
    <row r="12" spans="1:15" x14ac:dyDescent="0.3">
      <c r="A12" s="1" t="s">
        <v>10</v>
      </c>
      <c r="B12" s="2"/>
      <c r="C12" s="3"/>
      <c r="D12" s="3"/>
      <c r="E12" s="3">
        <v>561</v>
      </c>
      <c r="F12" s="3">
        <v>561</v>
      </c>
      <c r="G12" s="3"/>
      <c r="H12" s="3">
        <v>621</v>
      </c>
      <c r="I12" s="3">
        <v>634</v>
      </c>
      <c r="J12" s="3">
        <v>646</v>
      </c>
      <c r="K12" s="3">
        <v>1210</v>
      </c>
      <c r="L12" s="3">
        <v>581</v>
      </c>
      <c r="M12" s="4">
        <v>577</v>
      </c>
      <c r="O12" s="13" t="s">
        <v>19</v>
      </c>
    </row>
    <row r="13" spans="1:15" x14ac:dyDescent="0.3">
      <c r="A13" s="1" t="s">
        <v>11</v>
      </c>
      <c r="B13" s="5"/>
      <c r="C13" s="6"/>
      <c r="D13" s="6"/>
      <c r="E13" s="6">
        <v>562</v>
      </c>
      <c r="F13" s="6">
        <v>555</v>
      </c>
      <c r="G13" s="6"/>
      <c r="H13" s="6">
        <v>606</v>
      </c>
      <c r="I13" s="6">
        <v>621</v>
      </c>
      <c r="J13" s="6">
        <v>649</v>
      </c>
      <c r="K13" s="6">
        <v>1236</v>
      </c>
      <c r="L13" s="6">
        <v>579</v>
      </c>
      <c r="M13" s="7">
        <v>556</v>
      </c>
      <c r="O13" s="14"/>
    </row>
    <row r="14" spans="1:15" x14ac:dyDescent="0.3">
      <c r="A14" s="1" t="s">
        <v>12</v>
      </c>
      <c r="B14" s="5"/>
      <c r="C14" s="6"/>
      <c r="D14" s="6"/>
      <c r="E14" s="6">
        <v>561</v>
      </c>
      <c r="F14" s="6">
        <v>566</v>
      </c>
      <c r="G14" s="6"/>
      <c r="H14" s="6">
        <v>587</v>
      </c>
      <c r="I14" s="6">
        <v>633</v>
      </c>
      <c r="J14" s="6">
        <v>608</v>
      </c>
      <c r="K14" s="6">
        <v>1202</v>
      </c>
      <c r="L14" s="6">
        <v>572</v>
      </c>
      <c r="M14" s="7">
        <v>576</v>
      </c>
    </row>
    <row r="15" spans="1:15" x14ac:dyDescent="0.3">
      <c r="A15" s="1" t="s">
        <v>13</v>
      </c>
      <c r="B15" s="5"/>
      <c r="C15" s="6"/>
      <c r="D15" s="6"/>
      <c r="E15" s="6">
        <v>568</v>
      </c>
      <c r="F15" s="6">
        <v>562</v>
      </c>
      <c r="G15" s="6"/>
      <c r="H15" s="6">
        <v>589</v>
      </c>
      <c r="I15" s="6">
        <v>604</v>
      </c>
      <c r="J15" s="6">
        <v>627</v>
      </c>
      <c r="K15" s="6">
        <v>1184</v>
      </c>
      <c r="L15" s="6">
        <v>573</v>
      </c>
      <c r="M15" s="7">
        <v>611</v>
      </c>
    </row>
    <row r="16" spans="1:15" x14ac:dyDescent="0.3">
      <c r="A16" s="1" t="s">
        <v>14</v>
      </c>
      <c r="B16" s="5"/>
      <c r="C16" s="6"/>
      <c r="D16" s="6"/>
      <c r="E16" s="6">
        <v>566</v>
      </c>
      <c r="F16" s="6">
        <v>548</v>
      </c>
      <c r="G16" s="6"/>
      <c r="H16" s="6">
        <v>885</v>
      </c>
      <c r="I16" s="6">
        <v>591</v>
      </c>
      <c r="J16" s="6">
        <v>588</v>
      </c>
      <c r="K16" s="6">
        <v>613</v>
      </c>
      <c r="L16" s="6">
        <v>582</v>
      </c>
      <c r="M16" s="7">
        <v>939</v>
      </c>
    </row>
    <row r="17" spans="1:13" x14ac:dyDescent="0.3">
      <c r="A17" s="1" t="s">
        <v>15</v>
      </c>
      <c r="B17" s="5"/>
      <c r="C17" s="6"/>
      <c r="D17" s="6"/>
      <c r="E17" s="6">
        <v>563</v>
      </c>
      <c r="F17" s="6">
        <v>566</v>
      </c>
      <c r="G17" s="6"/>
      <c r="H17" s="6">
        <v>900</v>
      </c>
      <c r="I17" s="6">
        <v>581</v>
      </c>
      <c r="J17" s="6">
        <v>622</v>
      </c>
      <c r="K17" s="6">
        <v>614</v>
      </c>
      <c r="L17" s="6">
        <v>531</v>
      </c>
      <c r="M17" s="7">
        <v>958</v>
      </c>
    </row>
    <row r="18" spans="1:13" x14ac:dyDescent="0.3">
      <c r="A18" s="1" t="s">
        <v>16</v>
      </c>
      <c r="B18" s="5"/>
      <c r="C18" s="6"/>
      <c r="D18" s="6"/>
      <c r="E18" s="6">
        <v>568</v>
      </c>
      <c r="F18" s="6">
        <v>564</v>
      </c>
      <c r="G18" s="6"/>
      <c r="H18" s="6">
        <v>936</v>
      </c>
      <c r="I18" s="6">
        <v>588</v>
      </c>
      <c r="J18" s="6">
        <v>591</v>
      </c>
      <c r="K18" s="6">
        <v>590</v>
      </c>
      <c r="L18" s="6">
        <v>564</v>
      </c>
      <c r="M18" s="7">
        <v>930</v>
      </c>
    </row>
    <row r="19" spans="1:13" x14ac:dyDescent="0.3">
      <c r="A19" s="1" t="s">
        <v>17</v>
      </c>
      <c r="B19" s="8"/>
      <c r="C19" s="9"/>
      <c r="D19" s="9"/>
      <c r="E19" s="9">
        <v>562</v>
      </c>
      <c r="F19" s="9">
        <v>566</v>
      </c>
      <c r="G19" s="9"/>
      <c r="H19" s="9">
        <v>909</v>
      </c>
      <c r="I19" s="9">
        <v>618</v>
      </c>
      <c r="J19" s="9">
        <v>584</v>
      </c>
      <c r="K19" s="9">
        <v>594</v>
      </c>
      <c r="L19" s="9">
        <v>575</v>
      </c>
      <c r="M19" s="10">
        <v>938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9"/>
  <sheetViews>
    <sheetView workbookViewId="0">
      <selection activeCell="E31" sqref="E31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20</v>
      </c>
    </row>
    <row r="4" spans="1:15" x14ac:dyDescent="0.3">
      <c r="A4" t="s">
        <v>3</v>
      </c>
      <c r="I4" t="s">
        <v>4</v>
      </c>
      <c r="K4" t="s">
        <v>21</v>
      </c>
    </row>
    <row r="5" spans="1:15" x14ac:dyDescent="0.3">
      <c r="A5" t="s">
        <v>6</v>
      </c>
    </row>
    <row r="6" spans="1:15" x14ac:dyDescent="0.3">
      <c r="A6" t="s">
        <v>7</v>
      </c>
    </row>
    <row r="7" spans="1:15" x14ac:dyDescent="0.3">
      <c r="A7" t="s">
        <v>8</v>
      </c>
    </row>
    <row r="10" spans="1:15" x14ac:dyDescent="0.3">
      <c r="B10" t="s">
        <v>9</v>
      </c>
      <c r="O10" s="11"/>
    </row>
    <row r="11" spans="1:15" x14ac:dyDescent="0.3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O11" s="12" t="s">
        <v>18</v>
      </c>
    </row>
    <row r="12" spans="1:15" x14ac:dyDescent="0.3">
      <c r="A12" s="1" t="s">
        <v>10</v>
      </c>
      <c r="B12" s="2"/>
      <c r="C12" s="3"/>
      <c r="D12" s="3"/>
      <c r="E12" s="3">
        <v>571</v>
      </c>
      <c r="F12" s="3">
        <v>569</v>
      </c>
      <c r="G12" s="3"/>
      <c r="H12" s="3">
        <v>590</v>
      </c>
      <c r="I12" s="3">
        <v>590</v>
      </c>
      <c r="J12" s="3">
        <v>586</v>
      </c>
      <c r="K12" s="3">
        <v>1195</v>
      </c>
      <c r="L12" s="3">
        <v>575</v>
      </c>
      <c r="M12" s="4">
        <v>582</v>
      </c>
      <c r="O12" s="13" t="s">
        <v>19</v>
      </c>
    </row>
    <row r="13" spans="1:15" x14ac:dyDescent="0.3">
      <c r="A13" s="1" t="s">
        <v>11</v>
      </c>
      <c r="B13" s="5"/>
      <c r="C13" s="6"/>
      <c r="D13" s="6"/>
      <c r="E13" s="6">
        <v>568</v>
      </c>
      <c r="F13" s="6">
        <v>570</v>
      </c>
      <c r="G13" s="6"/>
      <c r="H13" s="6">
        <v>583</v>
      </c>
      <c r="I13" s="6">
        <v>581</v>
      </c>
      <c r="J13" s="6">
        <v>580</v>
      </c>
      <c r="K13" s="6">
        <v>1230</v>
      </c>
      <c r="L13" s="6">
        <v>581</v>
      </c>
      <c r="M13" s="7">
        <v>555</v>
      </c>
      <c r="O13" s="14"/>
    </row>
    <row r="14" spans="1:15" x14ac:dyDescent="0.3">
      <c r="A14" s="1" t="s">
        <v>12</v>
      </c>
      <c r="B14" s="5"/>
      <c r="C14" s="6"/>
      <c r="D14" s="6"/>
      <c r="E14" s="6">
        <v>575</v>
      </c>
      <c r="F14" s="6">
        <v>565</v>
      </c>
      <c r="G14" s="6"/>
      <c r="H14" s="6">
        <v>574</v>
      </c>
      <c r="I14" s="6">
        <v>588</v>
      </c>
      <c r="J14" s="6">
        <v>582</v>
      </c>
      <c r="K14" s="6">
        <v>1184</v>
      </c>
      <c r="L14" s="6">
        <v>578</v>
      </c>
      <c r="M14" s="7">
        <v>575</v>
      </c>
    </row>
    <row r="15" spans="1:15" x14ac:dyDescent="0.3">
      <c r="A15" s="1" t="s">
        <v>13</v>
      </c>
      <c r="B15" s="5"/>
      <c r="C15" s="6"/>
      <c r="D15" s="6"/>
      <c r="E15" s="6">
        <v>571</v>
      </c>
      <c r="F15" s="6">
        <v>569</v>
      </c>
      <c r="G15" s="6"/>
      <c r="H15" s="6">
        <v>583</v>
      </c>
      <c r="I15" s="6">
        <v>578</v>
      </c>
      <c r="J15" s="6">
        <v>577</v>
      </c>
      <c r="K15" s="6">
        <v>1174</v>
      </c>
      <c r="L15" s="6">
        <v>574</v>
      </c>
      <c r="M15" s="6">
        <v>613</v>
      </c>
    </row>
    <row r="16" spans="1:15" x14ac:dyDescent="0.3">
      <c r="A16" s="1" t="s">
        <v>14</v>
      </c>
      <c r="B16" s="5"/>
      <c r="C16" s="6"/>
      <c r="D16" s="6"/>
      <c r="E16" s="6">
        <v>572</v>
      </c>
      <c r="F16" s="6">
        <v>555</v>
      </c>
      <c r="G16" s="6"/>
      <c r="H16" s="6">
        <v>891</v>
      </c>
      <c r="I16" s="6">
        <v>582</v>
      </c>
      <c r="J16" s="6">
        <v>577</v>
      </c>
      <c r="K16" s="6">
        <v>581</v>
      </c>
      <c r="L16" s="6">
        <v>578</v>
      </c>
      <c r="M16" s="6">
        <v>941</v>
      </c>
      <c r="N16" s="6"/>
    </row>
    <row r="17" spans="1:14" x14ac:dyDescent="0.3">
      <c r="A17" s="1" t="s">
        <v>15</v>
      </c>
      <c r="B17" s="5"/>
      <c r="C17" s="6"/>
      <c r="D17" s="6"/>
      <c r="E17" s="6">
        <v>563</v>
      </c>
      <c r="F17" s="6">
        <v>570</v>
      </c>
      <c r="G17" s="6"/>
      <c r="H17" s="6">
        <v>906</v>
      </c>
      <c r="I17" s="6">
        <v>580</v>
      </c>
      <c r="J17" s="6">
        <v>586</v>
      </c>
      <c r="K17" s="6">
        <v>581</v>
      </c>
      <c r="L17" s="6">
        <v>531</v>
      </c>
      <c r="M17" s="6">
        <v>932</v>
      </c>
      <c r="N17" s="6"/>
    </row>
    <row r="18" spans="1:14" x14ac:dyDescent="0.3">
      <c r="A18" s="1" t="s">
        <v>16</v>
      </c>
      <c r="B18" s="5"/>
      <c r="C18" s="6"/>
      <c r="D18" s="6"/>
      <c r="E18" s="6">
        <v>568</v>
      </c>
      <c r="F18" s="6">
        <v>568</v>
      </c>
      <c r="G18" s="6"/>
      <c r="H18" s="6">
        <v>952</v>
      </c>
      <c r="I18" s="6">
        <v>578</v>
      </c>
      <c r="J18" s="6">
        <v>578</v>
      </c>
      <c r="K18" s="6">
        <v>574</v>
      </c>
      <c r="L18" s="6">
        <v>565</v>
      </c>
      <c r="M18" s="6">
        <v>930</v>
      </c>
      <c r="N18" s="6"/>
    </row>
    <row r="19" spans="1:14" x14ac:dyDescent="0.3">
      <c r="A19" s="1" t="s">
        <v>17</v>
      </c>
      <c r="B19" s="8"/>
      <c r="C19" s="9"/>
      <c r="D19" s="9"/>
      <c r="E19" s="9">
        <v>561</v>
      </c>
      <c r="F19" s="9">
        <v>570</v>
      </c>
      <c r="G19" s="9"/>
      <c r="H19" s="9">
        <v>923</v>
      </c>
      <c r="I19" s="9">
        <v>600</v>
      </c>
      <c r="J19" s="9">
        <v>575</v>
      </c>
      <c r="K19" s="9">
        <v>572</v>
      </c>
      <c r="L19" s="9">
        <v>580</v>
      </c>
      <c r="M19" s="9">
        <v>936</v>
      </c>
      <c r="N1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9"/>
  <sheetViews>
    <sheetView workbookViewId="0">
      <selection activeCell="Q25" sqref="Q25"/>
    </sheetView>
  </sheetViews>
  <sheetFormatPr defaultRowHeight="14.4" x14ac:dyDescent="0.3"/>
  <sheetData>
    <row r="3" spans="1:15" x14ac:dyDescent="0.3">
      <c r="A3" t="s">
        <v>0</v>
      </c>
      <c r="D3" t="s">
        <v>1</v>
      </c>
      <c r="K3" t="s">
        <v>22</v>
      </c>
    </row>
    <row r="4" spans="1:15" x14ac:dyDescent="0.3">
      <c r="A4" t="s">
        <v>3</v>
      </c>
      <c r="I4" t="s">
        <v>4</v>
      </c>
      <c r="K4" t="s">
        <v>23</v>
      </c>
    </row>
    <row r="5" spans="1:15" x14ac:dyDescent="0.3">
      <c r="A5" t="s">
        <v>6</v>
      </c>
    </row>
    <row r="6" spans="1:15" x14ac:dyDescent="0.3">
      <c r="A6" t="s">
        <v>7</v>
      </c>
    </row>
    <row r="7" spans="1:15" x14ac:dyDescent="0.3">
      <c r="A7" t="s">
        <v>8</v>
      </c>
    </row>
    <row r="10" spans="1:15" x14ac:dyDescent="0.3">
      <c r="B10" t="s">
        <v>9</v>
      </c>
      <c r="O10" s="11"/>
    </row>
    <row r="11" spans="1:15" x14ac:dyDescent="0.3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O11" s="12" t="s">
        <v>18</v>
      </c>
    </row>
    <row r="12" spans="1:15" x14ac:dyDescent="0.3">
      <c r="A12" s="1" t="s">
        <v>10</v>
      </c>
      <c r="B12" s="2"/>
      <c r="C12" s="3"/>
      <c r="D12" s="3"/>
      <c r="E12" s="3">
        <v>566</v>
      </c>
      <c r="F12" s="3">
        <v>564</v>
      </c>
      <c r="G12" s="3"/>
      <c r="H12" s="3">
        <v>578</v>
      </c>
      <c r="I12" s="3">
        <v>583</v>
      </c>
      <c r="J12" s="3">
        <v>582</v>
      </c>
      <c r="K12" s="3">
        <v>1191</v>
      </c>
      <c r="L12" s="3">
        <v>581</v>
      </c>
      <c r="M12" s="4">
        <v>580</v>
      </c>
      <c r="O12" s="13" t="s">
        <v>19</v>
      </c>
    </row>
    <row r="13" spans="1:15" x14ac:dyDescent="0.3">
      <c r="A13" s="1" t="s">
        <v>11</v>
      </c>
      <c r="B13" s="5"/>
      <c r="C13" s="6"/>
      <c r="D13" s="6"/>
      <c r="E13" s="6">
        <v>564</v>
      </c>
      <c r="F13" s="6">
        <v>574</v>
      </c>
      <c r="G13" s="6"/>
      <c r="H13" s="6">
        <v>582</v>
      </c>
      <c r="I13" s="6">
        <v>577</v>
      </c>
      <c r="J13" s="6">
        <v>576</v>
      </c>
      <c r="K13" s="6">
        <v>1215</v>
      </c>
      <c r="L13" s="6">
        <v>581</v>
      </c>
      <c r="M13" s="7">
        <v>556</v>
      </c>
      <c r="O13" s="14"/>
    </row>
    <row r="14" spans="1:15" x14ac:dyDescent="0.3">
      <c r="A14" s="1" t="s">
        <v>12</v>
      </c>
      <c r="B14" s="5"/>
      <c r="C14" s="6"/>
      <c r="D14" s="6"/>
      <c r="E14" s="6">
        <v>575</v>
      </c>
      <c r="F14" s="6">
        <v>571</v>
      </c>
      <c r="G14" s="6"/>
      <c r="H14" s="6">
        <v>579</v>
      </c>
      <c r="I14" s="6">
        <v>586</v>
      </c>
      <c r="J14" s="6">
        <v>575</v>
      </c>
      <c r="K14" s="6">
        <v>1190</v>
      </c>
      <c r="L14" s="6">
        <v>571</v>
      </c>
      <c r="M14" s="7">
        <v>586</v>
      </c>
    </row>
    <row r="15" spans="1:15" x14ac:dyDescent="0.3">
      <c r="A15" s="1" t="s">
        <v>13</v>
      </c>
      <c r="B15" s="5"/>
      <c r="C15" s="6"/>
      <c r="D15" s="6"/>
      <c r="E15" s="6">
        <v>570</v>
      </c>
      <c r="F15" s="6">
        <v>563</v>
      </c>
      <c r="G15" s="6"/>
      <c r="H15" s="6">
        <v>576</v>
      </c>
      <c r="I15" s="6">
        <v>580</v>
      </c>
      <c r="J15" s="6">
        <v>579</v>
      </c>
      <c r="K15" s="6">
        <v>1179</v>
      </c>
      <c r="L15" s="6">
        <v>576</v>
      </c>
      <c r="M15" s="6">
        <v>613</v>
      </c>
      <c r="N15" s="15"/>
    </row>
    <row r="16" spans="1:15" x14ac:dyDescent="0.3">
      <c r="A16" s="1" t="s">
        <v>14</v>
      </c>
      <c r="B16" s="5"/>
      <c r="C16" s="6"/>
      <c r="D16" s="6"/>
      <c r="E16" s="6">
        <v>573</v>
      </c>
      <c r="F16" s="6">
        <v>548</v>
      </c>
      <c r="G16" s="6"/>
      <c r="H16" s="6">
        <v>901</v>
      </c>
      <c r="I16" s="6">
        <v>583</v>
      </c>
      <c r="J16" s="6">
        <v>574</v>
      </c>
      <c r="K16" s="6">
        <v>585</v>
      </c>
      <c r="L16" s="6">
        <v>579</v>
      </c>
      <c r="M16" s="6">
        <v>942</v>
      </c>
      <c r="N16" s="5"/>
    </row>
    <row r="17" spans="1:14" x14ac:dyDescent="0.3">
      <c r="A17" s="1" t="s">
        <v>15</v>
      </c>
      <c r="B17" s="5"/>
      <c r="C17" s="6"/>
      <c r="D17" s="6"/>
      <c r="E17" s="6">
        <v>564</v>
      </c>
      <c r="F17" s="6">
        <v>569</v>
      </c>
      <c r="G17" s="6"/>
      <c r="H17" s="6">
        <v>907</v>
      </c>
      <c r="I17" s="6">
        <v>579</v>
      </c>
      <c r="J17" s="6">
        <v>587</v>
      </c>
      <c r="K17" s="6">
        <v>581</v>
      </c>
      <c r="L17" s="6">
        <v>541</v>
      </c>
      <c r="M17" s="6">
        <v>938</v>
      </c>
      <c r="N17" s="5"/>
    </row>
    <row r="18" spans="1:14" x14ac:dyDescent="0.3">
      <c r="A18" s="1" t="s">
        <v>16</v>
      </c>
      <c r="B18" s="5"/>
      <c r="C18" s="6"/>
      <c r="D18" s="6"/>
      <c r="E18" s="6">
        <v>569</v>
      </c>
      <c r="F18" s="6">
        <v>564</v>
      </c>
      <c r="G18" s="6"/>
      <c r="H18" s="6">
        <v>956</v>
      </c>
      <c r="I18" s="6">
        <v>581</v>
      </c>
      <c r="J18" s="6">
        <v>578</v>
      </c>
      <c r="K18" s="6">
        <v>579</v>
      </c>
      <c r="L18" s="6">
        <v>572</v>
      </c>
      <c r="M18" s="6">
        <v>941</v>
      </c>
      <c r="N18" s="5"/>
    </row>
    <row r="19" spans="1:14" x14ac:dyDescent="0.3">
      <c r="A19" s="1" t="s">
        <v>17</v>
      </c>
      <c r="B19" s="8"/>
      <c r="C19" s="9"/>
      <c r="D19" s="9"/>
      <c r="E19" s="9">
        <v>558</v>
      </c>
      <c r="F19" s="9">
        <v>572</v>
      </c>
      <c r="G19" s="9"/>
      <c r="H19" s="9">
        <v>925</v>
      </c>
      <c r="I19" s="9">
        <v>599</v>
      </c>
      <c r="J19" s="9">
        <v>579</v>
      </c>
      <c r="K19" s="9">
        <v>586</v>
      </c>
      <c r="L19" s="9">
        <v>583</v>
      </c>
      <c r="M19" s="9">
        <v>936</v>
      </c>
      <c r="N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D662-9641-4111-A3B9-DDBF30BBE79C}">
  <dimension ref="A2:J24"/>
  <sheetViews>
    <sheetView workbookViewId="0">
      <selection activeCell="A20" sqref="A20:D24"/>
    </sheetView>
  </sheetViews>
  <sheetFormatPr defaultRowHeight="14.4" x14ac:dyDescent="0.3"/>
  <sheetData>
    <row r="2" spans="2:10" x14ac:dyDescent="0.3">
      <c r="B2">
        <f>AVERAGE('R1'!H12,'R2'!H12,'R3'!H12)</f>
        <v>596.33333333333337</v>
      </c>
      <c r="C2">
        <f>AVERAGE('R1'!I12,'R2'!I12,'R3'!I12)</f>
        <v>602.33333333333337</v>
      </c>
      <c r="D2">
        <f>AVERAGE('R1'!J12,'R2'!J12,'R3'!J12)</f>
        <v>604.66666666666663</v>
      </c>
      <c r="E2">
        <f>AVERAGE('R1'!K12,'R2'!K12,'R3'!K12)</f>
        <v>1198.6666666666667</v>
      </c>
      <c r="F2">
        <f>AVERAGE('R1'!L12,'R2'!L12,'R3'!L12)</f>
        <v>579</v>
      </c>
      <c r="G2">
        <f>AVERAGE('R1'!M12,'R2'!M12,'R3'!M12)</f>
        <v>579.66666666666663</v>
      </c>
      <c r="I2">
        <f>AVERAGE('R1'!E12,'R2'!E12,'R3'!E12)</f>
        <v>566</v>
      </c>
      <c r="J2">
        <f>AVERAGE('R1'!F12,'R2'!F12,'R3'!F12)</f>
        <v>564.66666666666663</v>
      </c>
    </row>
    <row r="3" spans="2:10" x14ac:dyDescent="0.3">
      <c r="B3">
        <f>AVERAGE('R1'!H13,'R2'!H13,'R3'!H13)</f>
        <v>590.33333333333337</v>
      </c>
      <c r="C3">
        <f>AVERAGE('R1'!I13,'R2'!I13,'R3'!I13)</f>
        <v>593</v>
      </c>
      <c r="D3">
        <f>AVERAGE('R1'!J13,'R2'!J13,'R3'!J13)</f>
        <v>601.66666666666663</v>
      </c>
      <c r="E3">
        <f>AVERAGE('R1'!K13,'R2'!K13,'R3'!K13)</f>
        <v>1227</v>
      </c>
      <c r="F3">
        <f>AVERAGE('R1'!L13,'R2'!L13,'R3'!L13)</f>
        <v>580.33333333333337</v>
      </c>
      <c r="G3">
        <f>AVERAGE('R1'!M13,'R2'!M13,'R3'!M13)</f>
        <v>555.66666666666663</v>
      </c>
      <c r="I3">
        <f>AVERAGE('R1'!E13,'R2'!E13,'R3'!E13)</f>
        <v>564.66666666666663</v>
      </c>
      <c r="J3">
        <f>AVERAGE('R1'!F13,'R2'!F13,'R3'!F13)</f>
        <v>566.33333333333337</v>
      </c>
    </row>
    <row r="4" spans="2:10" x14ac:dyDescent="0.3">
      <c r="B4">
        <f>AVERAGE('R1'!H14,'R2'!H14,'R3'!H14)</f>
        <v>580</v>
      </c>
      <c r="C4">
        <f>AVERAGE('R1'!I14,'R2'!I14,'R3'!I14)</f>
        <v>602.33333333333337</v>
      </c>
      <c r="D4">
        <f>AVERAGE('R1'!J14,'R2'!J14,'R3'!J14)</f>
        <v>588.33333333333337</v>
      </c>
      <c r="E4">
        <f>AVERAGE('R1'!K14,'R2'!K14,'R3'!K14)</f>
        <v>1192</v>
      </c>
      <c r="F4">
        <f>AVERAGE('R1'!L14,'R2'!L14,'R3'!L14)</f>
        <v>573.66666666666663</v>
      </c>
      <c r="G4">
        <f>AVERAGE('R1'!M14,'R2'!M14,'R3'!M14)</f>
        <v>579</v>
      </c>
      <c r="I4">
        <f>AVERAGE('R1'!E14,'R2'!E14,'R3'!E14)</f>
        <v>570.33333333333337</v>
      </c>
      <c r="J4">
        <f>AVERAGE('R1'!F14,'R2'!F14,'R3'!F14)</f>
        <v>567.33333333333337</v>
      </c>
    </row>
    <row r="5" spans="2:10" x14ac:dyDescent="0.3">
      <c r="B5">
        <f>AVERAGE('R1'!H15,'R2'!H15,'R3'!H15)</f>
        <v>582.66666666666663</v>
      </c>
      <c r="C5">
        <f>AVERAGE('R1'!I15,'R2'!I15,'R3'!I15)</f>
        <v>587.33333333333337</v>
      </c>
      <c r="D5">
        <f>AVERAGE('R1'!J15,'R2'!J15,'R3'!J15)</f>
        <v>594.33333333333337</v>
      </c>
      <c r="E5">
        <f>AVERAGE('R1'!K15,'R2'!K15,'R3'!K15)</f>
        <v>1179</v>
      </c>
      <c r="F5">
        <f>AVERAGE('R1'!L15,'R2'!L15,'R3'!L15)</f>
        <v>574.33333333333337</v>
      </c>
      <c r="G5">
        <f>AVERAGE('R1'!M15,'R2'!M15,'R3'!M15)</f>
        <v>612.33333333333337</v>
      </c>
      <c r="I5">
        <f>AVERAGE('R1'!E15,'R2'!E15,'R3'!E15)</f>
        <v>569.66666666666663</v>
      </c>
      <c r="J5">
        <f>AVERAGE('R1'!F15,'R2'!F15,'R3'!F15)</f>
        <v>564.66666666666663</v>
      </c>
    </row>
    <row r="6" spans="2:10" x14ac:dyDescent="0.3">
      <c r="B6">
        <f>AVERAGE('R1'!H16,'R2'!H16,'R3'!H16)</f>
        <v>892.33333333333337</v>
      </c>
      <c r="C6">
        <f>AVERAGE('R1'!I16,'R2'!I16,'R3'!I16)</f>
        <v>585.33333333333337</v>
      </c>
      <c r="D6">
        <f>AVERAGE('R1'!J16,'R2'!J16,'R3'!J16)</f>
        <v>579.66666666666663</v>
      </c>
      <c r="E6">
        <f>AVERAGE('R1'!K16,'R2'!K16,'R3'!K16)</f>
        <v>593</v>
      </c>
      <c r="F6">
        <f>AVERAGE('R1'!L16,'R2'!L16,'R3'!L16)</f>
        <v>579.66666666666663</v>
      </c>
      <c r="G6">
        <f>AVERAGE('R1'!M16,'R2'!M16,'R3'!M16)</f>
        <v>940.66666666666663</v>
      </c>
      <c r="I6">
        <f>AVERAGE('R1'!E16,'R2'!E16,'R3'!E16)</f>
        <v>570.33333333333337</v>
      </c>
      <c r="J6">
        <f>AVERAGE('R1'!F16,'R2'!F16,'R3'!F16)</f>
        <v>550.33333333333337</v>
      </c>
    </row>
    <row r="7" spans="2:10" x14ac:dyDescent="0.3">
      <c r="B7">
        <f>AVERAGE('R1'!H17,'R2'!H17,'R3'!H17)</f>
        <v>904.33333333333337</v>
      </c>
      <c r="C7">
        <f>AVERAGE('R1'!I17,'R2'!I17,'R3'!I17)</f>
        <v>580</v>
      </c>
      <c r="D7">
        <f>AVERAGE('R1'!J17,'R2'!J17,'R3'!J17)</f>
        <v>598.33333333333337</v>
      </c>
      <c r="E7">
        <f>AVERAGE('R1'!K17,'R2'!K17,'R3'!K17)</f>
        <v>592</v>
      </c>
      <c r="F7">
        <f>AVERAGE('R1'!L17,'R2'!L17,'R3'!L17)</f>
        <v>534.33333333333337</v>
      </c>
      <c r="G7">
        <f>AVERAGE('R1'!M17,'R2'!M17,'R3'!M17)</f>
        <v>942.66666666666663</v>
      </c>
      <c r="I7">
        <f>AVERAGE('R1'!E17,'R2'!E17,'R3'!E17)</f>
        <v>563.33333333333337</v>
      </c>
      <c r="J7">
        <f>AVERAGE('R1'!F17,'R2'!F17,'R3'!F17)</f>
        <v>568.33333333333337</v>
      </c>
    </row>
    <row r="8" spans="2:10" x14ac:dyDescent="0.3">
      <c r="B8">
        <f>AVERAGE('R1'!H18,'R2'!H18,'R3'!H18)</f>
        <v>948</v>
      </c>
      <c r="C8">
        <f>AVERAGE('R1'!I18,'R2'!I18,'R3'!I18)</f>
        <v>582.33333333333337</v>
      </c>
      <c r="D8">
        <f>AVERAGE('R1'!J18,'R2'!J18,'R3'!J18)</f>
        <v>582.33333333333337</v>
      </c>
      <c r="E8">
        <f>AVERAGE('R1'!K18,'R2'!K18,'R3'!K18)</f>
        <v>581</v>
      </c>
      <c r="F8">
        <f>AVERAGE('R1'!L18,'R2'!L18,'R3'!L18)</f>
        <v>567</v>
      </c>
      <c r="G8">
        <f>AVERAGE('R1'!M18,'R2'!M18,'R3'!M18)</f>
        <v>933.66666666666663</v>
      </c>
      <c r="I8">
        <f>AVERAGE('R1'!E18,'R2'!E18,'R3'!E18)</f>
        <v>568.33333333333337</v>
      </c>
      <c r="J8">
        <f>AVERAGE('R1'!F18,'R2'!F18,'R3'!F18)</f>
        <v>565.33333333333337</v>
      </c>
    </row>
    <row r="9" spans="2:10" x14ac:dyDescent="0.3">
      <c r="B9">
        <f>AVERAGE('R1'!H19,'R2'!H19,'R3'!H19)</f>
        <v>919</v>
      </c>
      <c r="C9">
        <f>AVERAGE('R1'!I19,'R2'!I19,'R3'!I19)</f>
        <v>605.66666666666663</v>
      </c>
      <c r="D9">
        <f>AVERAGE('R1'!J19,'R2'!J19,'R3'!J19)</f>
        <v>579.33333333333337</v>
      </c>
      <c r="E9">
        <f>AVERAGE('R1'!K19,'R2'!K19,'R3'!K19)</f>
        <v>584</v>
      </c>
      <c r="F9">
        <f>AVERAGE('R1'!L19,'R2'!L19,'R3'!L19)</f>
        <v>579.33333333333337</v>
      </c>
      <c r="G9">
        <f>AVERAGE('R1'!M19,'R2'!M19,'R3'!M19)</f>
        <v>936.66666666666663</v>
      </c>
      <c r="I9">
        <f>AVERAGE('R1'!E19,'R2'!E19,'R3'!E19)</f>
        <v>560.33333333333337</v>
      </c>
      <c r="J9">
        <f>AVERAGE('R1'!F19,'R2'!F19,'R3'!F19)</f>
        <v>569.33333333333337</v>
      </c>
    </row>
    <row r="10" spans="2:10" x14ac:dyDescent="0.3">
      <c r="I10">
        <f>MIN(B2:J9)</f>
        <v>534.33333333333337</v>
      </c>
    </row>
    <row r="11" spans="2:10" x14ac:dyDescent="0.3">
      <c r="B11">
        <f>B2-$I$10</f>
        <v>62</v>
      </c>
      <c r="C11">
        <f t="shared" ref="C11:G11" si="0">C2-$I$10</f>
        <v>68</v>
      </c>
      <c r="D11">
        <f t="shared" si="0"/>
        <v>70.333333333333258</v>
      </c>
      <c r="E11">
        <f t="shared" si="0"/>
        <v>664.33333333333337</v>
      </c>
      <c r="F11">
        <f t="shared" si="0"/>
        <v>44.666666666666629</v>
      </c>
      <c r="G11">
        <f t="shared" si="0"/>
        <v>45.333333333333258</v>
      </c>
    </row>
    <row r="12" spans="2:10" x14ac:dyDescent="0.3">
      <c r="B12">
        <f t="shared" ref="B12:G12" si="1">B3-$I$10</f>
        <v>56</v>
      </c>
      <c r="C12">
        <f t="shared" si="1"/>
        <v>58.666666666666629</v>
      </c>
      <c r="D12">
        <f t="shared" si="1"/>
        <v>67.333333333333258</v>
      </c>
      <c r="E12">
        <f t="shared" si="1"/>
        <v>692.66666666666663</v>
      </c>
      <c r="F12">
        <f t="shared" si="1"/>
        <v>46</v>
      </c>
      <c r="G12">
        <f t="shared" si="1"/>
        <v>21.333333333333258</v>
      </c>
    </row>
    <row r="13" spans="2:10" x14ac:dyDescent="0.3">
      <c r="B13">
        <f t="shared" ref="B13:G13" si="2">B4-$I$10</f>
        <v>45.666666666666629</v>
      </c>
      <c r="C13">
        <f t="shared" si="2"/>
        <v>68</v>
      </c>
      <c r="D13">
        <f t="shared" si="2"/>
        <v>54</v>
      </c>
      <c r="E13">
        <f t="shared" si="2"/>
        <v>657.66666666666663</v>
      </c>
      <c r="F13">
        <f t="shared" si="2"/>
        <v>39.333333333333258</v>
      </c>
      <c r="G13">
        <f t="shared" si="2"/>
        <v>44.666666666666629</v>
      </c>
    </row>
    <row r="14" spans="2:10" x14ac:dyDescent="0.3">
      <c r="B14">
        <f t="shared" ref="B14:G14" si="3">B5-$I$10</f>
        <v>48.333333333333258</v>
      </c>
      <c r="C14">
        <f t="shared" si="3"/>
        <v>53</v>
      </c>
      <c r="D14">
        <f t="shared" si="3"/>
        <v>60</v>
      </c>
      <c r="E14">
        <f t="shared" si="3"/>
        <v>644.66666666666663</v>
      </c>
      <c r="F14">
        <f t="shared" si="3"/>
        <v>40</v>
      </c>
      <c r="G14">
        <f t="shared" si="3"/>
        <v>78</v>
      </c>
    </row>
    <row r="15" spans="2:10" x14ac:dyDescent="0.3">
      <c r="B15">
        <f t="shared" ref="B15:G15" si="4">B6-$I$10</f>
        <v>358</v>
      </c>
      <c r="C15">
        <f t="shared" si="4"/>
        <v>51</v>
      </c>
      <c r="D15">
        <f t="shared" si="4"/>
        <v>45.333333333333258</v>
      </c>
      <c r="E15">
        <f t="shared" si="4"/>
        <v>58.666666666666629</v>
      </c>
      <c r="F15">
        <f t="shared" si="4"/>
        <v>45.333333333333258</v>
      </c>
      <c r="G15">
        <f t="shared" si="4"/>
        <v>406.33333333333326</v>
      </c>
    </row>
    <row r="16" spans="2:10" x14ac:dyDescent="0.3">
      <c r="B16">
        <f t="shared" ref="B16:G16" si="5">B7-$I$10</f>
        <v>370</v>
      </c>
      <c r="C16">
        <f t="shared" si="5"/>
        <v>45.666666666666629</v>
      </c>
      <c r="D16">
        <f t="shared" si="5"/>
        <v>64</v>
      </c>
      <c r="E16">
        <f t="shared" si="5"/>
        <v>57.666666666666629</v>
      </c>
      <c r="F16">
        <f t="shared" si="5"/>
        <v>0</v>
      </c>
      <c r="G16">
        <f t="shared" si="5"/>
        <v>408.33333333333326</v>
      </c>
    </row>
    <row r="17" spans="1:7" x14ac:dyDescent="0.3">
      <c r="B17">
        <f t="shared" ref="B17:G17" si="6">B8-$I$10</f>
        <v>413.66666666666663</v>
      </c>
      <c r="C17">
        <f t="shared" si="6"/>
        <v>48</v>
      </c>
      <c r="D17">
        <f t="shared" si="6"/>
        <v>48</v>
      </c>
      <c r="E17">
        <f t="shared" si="6"/>
        <v>46.666666666666629</v>
      </c>
      <c r="F17">
        <f t="shared" si="6"/>
        <v>32.666666666666629</v>
      </c>
      <c r="G17">
        <f t="shared" si="6"/>
        <v>399.33333333333326</v>
      </c>
    </row>
    <row r="18" spans="1:7" x14ac:dyDescent="0.3">
      <c r="B18">
        <f t="shared" ref="B18:G18" si="7">B9-$I$10</f>
        <v>384.66666666666663</v>
      </c>
      <c r="C18">
        <f t="shared" si="7"/>
        <v>71.333333333333258</v>
      </c>
      <c r="D18">
        <f t="shared" si="7"/>
        <v>45</v>
      </c>
      <c r="E18">
        <f t="shared" si="7"/>
        <v>49.666666666666629</v>
      </c>
      <c r="F18">
        <f t="shared" si="7"/>
        <v>45</v>
      </c>
      <c r="G18">
        <f t="shared" si="7"/>
        <v>402.33333333333326</v>
      </c>
    </row>
    <row r="20" spans="1:7" x14ac:dyDescent="0.3">
      <c r="B20" t="s">
        <v>24</v>
      </c>
      <c r="C20" t="s">
        <v>25</v>
      </c>
      <c r="D20" t="s">
        <v>26</v>
      </c>
    </row>
    <row r="21" spans="1:7" x14ac:dyDescent="0.3">
      <c r="A21" t="s">
        <v>27</v>
      </c>
      <c r="B21">
        <f>AVERAGE(B11:B14)</f>
        <v>52.999999999999972</v>
      </c>
      <c r="C21">
        <f>AVERAGE(D11:D14)</f>
        <v>62.916666666666629</v>
      </c>
      <c r="D21">
        <f>AVERAGE(F11:F14)</f>
        <v>42.499999999999972</v>
      </c>
    </row>
    <row r="22" spans="1:7" x14ac:dyDescent="0.3">
      <c r="A22" t="s">
        <v>28</v>
      </c>
      <c r="B22">
        <f>AVERAGE(B15:B18)</f>
        <v>381.58333333333326</v>
      </c>
      <c r="C22">
        <f>AVERAGE(D15:D18)</f>
        <v>50.583333333333314</v>
      </c>
      <c r="D22">
        <f>AVERAGE(F15:F18)</f>
        <v>30.749999999999972</v>
      </c>
    </row>
    <row r="23" spans="1:7" x14ac:dyDescent="0.3">
      <c r="A23" t="s">
        <v>29</v>
      </c>
      <c r="B23">
        <f>AVERAGE(C11:C14)</f>
        <v>61.916666666666657</v>
      </c>
      <c r="C23">
        <f>AVERAGE(E11:E14)</f>
        <v>664.83333333333326</v>
      </c>
      <c r="D23">
        <f>AVERAGE(G11:G14)</f>
        <v>47.333333333333286</v>
      </c>
    </row>
    <row r="24" spans="1:7" x14ac:dyDescent="0.3">
      <c r="A24" t="s">
        <v>30</v>
      </c>
      <c r="B24">
        <f>AVERAGE(C15:C18)</f>
        <v>53.999999999999972</v>
      </c>
      <c r="C24">
        <f>AVERAGE(E15:E18)</f>
        <v>53.166666666666629</v>
      </c>
      <c r="D24">
        <f>AVERAGE(G15:G18)</f>
        <v>404.08333333333326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D9D5-872B-4363-A068-EE3A9A7B5865}">
  <dimension ref="A1:D5"/>
  <sheetViews>
    <sheetView tabSelected="1" workbookViewId="0">
      <selection sqref="A1:D5"/>
    </sheetView>
  </sheetViews>
  <sheetFormatPr defaultRowHeight="14.4" x14ac:dyDescent="0.3"/>
  <sheetData>
    <row r="1" spans="1:4" x14ac:dyDescent="0.3"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>
        <v>52.999999999999972</v>
      </c>
      <c r="C2">
        <v>62.916666666666629</v>
      </c>
      <c r="D2">
        <v>42.499999999999972</v>
      </c>
    </row>
    <row r="3" spans="1:4" x14ac:dyDescent="0.3">
      <c r="A3" t="s">
        <v>28</v>
      </c>
      <c r="B3">
        <v>381.58333333333326</v>
      </c>
      <c r="C3">
        <v>50.583333333333314</v>
      </c>
      <c r="D3">
        <v>30.749999999999972</v>
      </c>
    </row>
    <row r="4" spans="1:4" x14ac:dyDescent="0.3">
      <c r="A4" t="s">
        <v>29</v>
      </c>
      <c r="B4">
        <v>61.916666666666657</v>
      </c>
      <c r="C4">
        <v>664.83333333333326</v>
      </c>
      <c r="D4">
        <v>47.333333333333286</v>
      </c>
    </row>
    <row r="5" spans="1:4" x14ac:dyDescent="0.3">
      <c r="A5" t="s">
        <v>30</v>
      </c>
      <c r="B5">
        <v>53.999999999999972</v>
      </c>
      <c r="C5">
        <v>53.166666666666629</v>
      </c>
      <c r="D5">
        <v>404.08333333333326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</vt:lpstr>
      <vt:lpstr>R2</vt:lpstr>
      <vt:lpstr>R3</vt:lpstr>
      <vt:lpstr>Result</vt:lpstr>
      <vt:lpstr>Heatmap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BlerisLab</dc:creator>
  <cp:lastModifiedBy>Zhou, Zikun</cp:lastModifiedBy>
  <dcterms:created xsi:type="dcterms:W3CDTF">2025-10-21T18:17:31Z</dcterms:created>
  <dcterms:modified xsi:type="dcterms:W3CDTF">2025-10-21T18:47:30Z</dcterms:modified>
</cp:coreProperties>
</file>