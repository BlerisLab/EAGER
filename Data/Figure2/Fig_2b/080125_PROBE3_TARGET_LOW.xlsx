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F\StorDNA\Printing\"/>
    </mc:Choice>
  </mc:AlternateContent>
  <xr:revisionPtr revIDLastSave="0" documentId="13_ncr:1_{570A2F23-DA21-4B46-BF74-AD3C6158B9A3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R1" sheetId="1" r:id="rId1"/>
    <sheet name="R2" sheetId="2" r:id="rId2"/>
    <sheet name="R3" sheetId="3" r:id="rId3"/>
    <sheet name="Results" sheetId="4" r:id="rId4"/>
    <sheet name="Plo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4" l="1"/>
  <c r="S5" i="4"/>
  <c r="S7" i="4"/>
  <c r="S11" i="4"/>
  <c r="S13" i="4"/>
  <c r="S15" i="4"/>
  <c r="S17" i="4"/>
  <c r="S19" i="4"/>
  <c r="S21" i="4"/>
  <c r="S3" i="4"/>
  <c r="S4" i="4"/>
  <c r="S6" i="4"/>
  <c r="S8" i="4"/>
  <c r="S10" i="4"/>
  <c r="S12" i="4"/>
  <c r="S14" i="4"/>
  <c r="S16" i="4"/>
  <c r="S18" i="4"/>
  <c r="S20" i="4"/>
  <c r="S22" i="4"/>
  <c r="S2" i="4"/>
  <c r="R5" i="4"/>
  <c r="R7" i="4"/>
  <c r="R9" i="4"/>
  <c r="R11" i="4"/>
  <c r="R13" i="4"/>
  <c r="R15" i="4"/>
  <c r="R17" i="4"/>
  <c r="R19" i="4"/>
  <c r="R21" i="4"/>
  <c r="R3" i="4"/>
  <c r="R10" i="4"/>
  <c r="R22" i="4"/>
  <c r="R4" i="4"/>
  <c r="R6" i="4"/>
  <c r="R8" i="4"/>
  <c r="R12" i="4"/>
  <c r="R14" i="4"/>
  <c r="R16" i="4"/>
  <c r="R18" i="4"/>
  <c r="R20" i="4"/>
  <c r="R2" i="4"/>
  <c r="B3" i="4" l="1"/>
  <c r="C3" i="4"/>
  <c r="D3" i="4"/>
  <c r="E3" i="4"/>
  <c r="F3" i="4"/>
  <c r="G3" i="4"/>
  <c r="G14" i="4" s="1"/>
  <c r="H3" i="4"/>
  <c r="I3" i="4"/>
  <c r="J3" i="4"/>
  <c r="J14" i="4" s="1"/>
  <c r="K3" i="4"/>
  <c r="K14" i="4" s="1"/>
  <c r="L3" i="4"/>
  <c r="L14" i="4" s="1"/>
  <c r="M3" i="4"/>
  <c r="B4" i="4"/>
  <c r="B15" i="4" s="1"/>
  <c r="C4" i="4"/>
  <c r="C15" i="4" s="1"/>
  <c r="D4" i="4"/>
  <c r="D15" i="4" s="1"/>
  <c r="E4" i="4"/>
  <c r="F4" i="4"/>
  <c r="G4" i="4"/>
  <c r="H4" i="4"/>
  <c r="I4" i="4"/>
  <c r="J4" i="4"/>
  <c r="K4" i="4"/>
  <c r="L4" i="4"/>
  <c r="L15" i="4" s="1"/>
  <c r="M4" i="4"/>
  <c r="B5" i="4"/>
  <c r="C5" i="4"/>
  <c r="C16" i="4" s="1"/>
  <c r="D5" i="4"/>
  <c r="E5" i="4"/>
  <c r="F5" i="4"/>
  <c r="G5" i="4"/>
  <c r="H5" i="4"/>
  <c r="I5" i="4"/>
  <c r="I16" i="4" s="1"/>
  <c r="J5" i="4"/>
  <c r="K5" i="4"/>
  <c r="L5" i="4"/>
  <c r="L16" i="4" s="1"/>
  <c r="M5" i="4"/>
  <c r="B6" i="4"/>
  <c r="C6" i="4"/>
  <c r="C17" i="4" s="1"/>
  <c r="D6" i="4"/>
  <c r="D17" i="4" s="1"/>
  <c r="E6" i="4"/>
  <c r="E17" i="4" s="1"/>
  <c r="F6" i="4"/>
  <c r="G6" i="4"/>
  <c r="H6" i="4"/>
  <c r="H17" i="4" s="1"/>
  <c r="I6" i="4"/>
  <c r="I17" i="4" s="1"/>
  <c r="J6" i="4"/>
  <c r="J17" i="4" s="1"/>
  <c r="K6" i="4"/>
  <c r="K17" i="4" s="1"/>
  <c r="M6" i="4"/>
  <c r="B7" i="4"/>
  <c r="B18" i="4" s="1"/>
  <c r="C7" i="4"/>
  <c r="C18" i="4" s="1"/>
  <c r="D7" i="4"/>
  <c r="D18" i="4" s="1"/>
  <c r="E7" i="4"/>
  <c r="E18" i="4" s="1"/>
  <c r="F7" i="4"/>
  <c r="F18" i="4" s="1"/>
  <c r="G7" i="4"/>
  <c r="H7" i="4"/>
  <c r="H18" i="4" s="1"/>
  <c r="I7" i="4"/>
  <c r="I18" i="4" s="1"/>
  <c r="J7" i="4"/>
  <c r="K7" i="4"/>
  <c r="M7" i="4"/>
  <c r="B8" i="4"/>
  <c r="B19" i="4" s="1"/>
  <c r="C8" i="4"/>
  <c r="D8" i="4"/>
  <c r="E8" i="4"/>
  <c r="F8" i="4"/>
  <c r="F19" i="4" s="1"/>
  <c r="G8" i="4"/>
  <c r="G19" i="4" s="1"/>
  <c r="H8" i="4"/>
  <c r="H19" i="4" s="1"/>
  <c r="I8" i="4"/>
  <c r="I19" i="4" s="1"/>
  <c r="J8" i="4"/>
  <c r="J19" i="4" s="1"/>
  <c r="K8" i="4"/>
  <c r="K19" i="4" s="1"/>
  <c r="M8" i="4"/>
  <c r="B9" i="4"/>
  <c r="B20" i="4" s="1"/>
  <c r="C9" i="4"/>
  <c r="C20" i="4" s="1"/>
  <c r="D9" i="4"/>
  <c r="D20" i="4" s="1"/>
  <c r="E9" i="4"/>
  <c r="E20" i="4" s="1"/>
  <c r="F9" i="4"/>
  <c r="F20" i="4" s="1"/>
  <c r="G9" i="4"/>
  <c r="G20" i="4" s="1"/>
  <c r="H9" i="4"/>
  <c r="I9" i="4"/>
  <c r="J9" i="4"/>
  <c r="K9" i="4"/>
  <c r="M9" i="4"/>
  <c r="L2" i="4"/>
  <c r="M2" i="4"/>
  <c r="M13" i="4" s="1"/>
  <c r="C2" i="4"/>
  <c r="C13" i="4" s="1"/>
  <c r="D2" i="4"/>
  <c r="D13" i="4" s="1"/>
  <c r="E2" i="4"/>
  <c r="E13" i="4" s="1"/>
  <c r="F2" i="4"/>
  <c r="F13" i="4" s="1"/>
  <c r="G2" i="4"/>
  <c r="G13" i="4" s="1"/>
  <c r="H2" i="4"/>
  <c r="H13" i="4" s="1"/>
  <c r="I2" i="4"/>
  <c r="I13" i="4" s="1"/>
  <c r="J2" i="4"/>
  <c r="J13" i="4" s="1"/>
  <c r="K2" i="4"/>
  <c r="K13" i="4" s="1"/>
  <c r="B2" i="4"/>
  <c r="B13" i="4" s="1"/>
  <c r="E15" i="4" l="1"/>
  <c r="F15" i="4"/>
  <c r="G15" i="4"/>
  <c r="H15" i="4"/>
  <c r="I15" i="4"/>
  <c r="J15" i="4"/>
  <c r="D16" i="4"/>
  <c r="E16" i="4"/>
  <c r="G18" i="4"/>
  <c r="F16" i="4"/>
  <c r="G16" i="4"/>
  <c r="K20" i="4"/>
  <c r="H16" i="4"/>
  <c r="J18" i="4"/>
  <c r="K15" i="4"/>
  <c r="H20" i="4"/>
  <c r="C14" i="4"/>
  <c r="I20" i="4"/>
  <c r="D14" i="4"/>
  <c r="J20" i="4"/>
  <c r="E14" i="4"/>
  <c r="F14" i="4"/>
  <c r="B14" i="4"/>
  <c r="K18" i="4"/>
  <c r="H14" i="4"/>
  <c r="J16" i="4"/>
  <c r="C19" i="4"/>
  <c r="B16" i="4"/>
  <c r="I14" i="4"/>
  <c r="K16" i="4"/>
  <c r="D19" i="4"/>
  <c r="B17" i="4"/>
  <c r="E19" i="4"/>
  <c r="G17" i="4"/>
  <c r="L13" i="4"/>
  <c r="F17" i="4"/>
</calcChain>
</file>

<file path=xl/sharedStrings.xml><?xml version="1.0" encoding="utf-8"?>
<sst xmlns="http://schemas.openxmlformats.org/spreadsheetml/2006/main" count="104" uniqueCount="29">
  <si>
    <t>User: USER</t>
  </si>
  <si>
    <t>Path: C:\Program Files (x86)\BMG\Omega\User\Data\</t>
  </si>
  <si>
    <t>Test ID: 696</t>
  </si>
  <si>
    <t>Test Name: RFPSCAN</t>
  </si>
  <si>
    <t>Date: 8/1/2025</t>
  </si>
  <si>
    <t>Time: 2:35:20 PM</t>
  </si>
  <si>
    <t>Fluorescence (FI)</t>
  </si>
  <si>
    <t>Raw Data (Average) (544, 590-10)</t>
  </si>
  <si>
    <t>A</t>
  </si>
  <si>
    <t>B</t>
  </si>
  <si>
    <t>C</t>
  </si>
  <si>
    <t>D</t>
  </si>
  <si>
    <t>E</t>
  </si>
  <si>
    <t>F</t>
  </si>
  <si>
    <t>G</t>
  </si>
  <si>
    <t>H</t>
  </si>
  <si>
    <t xml:space="preserve">     Average</t>
  </si>
  <si>
    <t xml:space="preserve">     of all valid scan points used</t>
  </si>
  <si>
    <t>Test ID: 697</t>
  </si>
  <si>
    <t>Time: 2:45:37 PM</t>
  </si>
  <si>
    <t>Test ID: 698</t>
  </si>
  <si>
    <t>Time: 2:57:36 PM</t>
  </si>
  <si>
    <t>Quencher/Flourescent</t>
  </si>
  <si>
    <t>Target</t>
  </si>
  <si>
    <t>Mean Intensity</t>
  </si>
  <si>
    <t>STD</t>
  </si>
  <si>
    <t>0.5/0.5</t>
  </si>
  <si>
    <t>1/0.5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</si>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</sst>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workbookViewId="0">
      <selection activeCell="B19" sqref="B19:M26"/>
    </sheetView>
  </sheetViews>
  <sheetFormatPr defaultRowHeight="14.4" x14ac:dyDescent="0.3"/>
  <cols>
    <col min="1" max="1" width="4.21875" customWidth="1"/>
    <col min="15" max="15" width="34.77734375" customWidth="1"/>
  </cols>
  <sheetData>
    <row r="3" spans="1:15" x14ac:dyDescent="0.3">
      <c r="A3" t="s">
        <v>0</v>
      </c>
      <c r="D3" t="s">
        <v>1</v>
      </c>
      <c r="K3" t="s">
        <v>2</v>
      </c>
    </row>
    <row r="4" spans="1:15" x14ac:dyDescent="0.3">
      <c r="A4" t="s">
        <v>3</v>
      </c>
      <c r="I4" t="s">
        <v>4</v>
      </c>
      <c r="K4" t="s">
        <v>5</v>
      </c>
    </row>
    <row r="5" spans="1:15" x14ac:dyDescent="0.3">
      <c r="A5" t="s">
        <v>6</v>
      </c>
    </row>
    <row r="9" spans="1:15" x14ac:dyDescent="0.3">
      <c r="B9" t="s">
        <v>7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16</v>
      </c>
    </row>
    <row r="11" spans="1:15" x14ac:dyDescent="0.3">
      <c r="A11" s="1" t="s">
        <v>8</v>
      </c>
      <c r="B11" s="2">
        <v>593</v>
      </c>
      <c r="C11" s="3">
        <v>606</v>
      </c>
      <c r="D11" s="3">
        <v>619</v>
      </c>
      <c r="E11" s="3">
        <v>850</v>
      </c>
      <c r="F11" s="3">
        <v>570</v>
      </c>
      <c r="G11" s="3">
        <v>589</v>
      </c>
      <c r="H11" s="3">
        <v>683</v>
      </c>
      <c r="I11" s="3">
        <v>595</v>
      </c>
      <c r="J11" s="3">
        <v>587</v>
      </c>
      <c r="K11" s="3">
        <v>633</v>
      </c>
      <c r="L11" s="3">
        <v>979</v>
      </c>
      <c r="M11" s="4">
        <v>580</v>
      </c>
      <c r="O11" s="13" t="s">
        <v>17</v>
      </c>
    </row>
    <row r="12" spans="1:15" x14ac:dyDescent="0.3">
      <c r="A12" s="1" t="s">
        <v>9</v>
      </c>
      <c r="B12" s="5">
        <v>567</v>
      </c>
      <c r="C12" s="6">
        <v>580</v>
      </c>
      <c r="D12" s="6">
        <v>626</v>
      </c>
      <c r="E12" s="6">
        <v>852</v>
      </c>
      <c r="F12" s="6">
        <v>574</v>
      </c>
      <c r="G12" s="6">
        <v>581</v>
      </c>
      <c r="H12" s="6">
        <v>656</v>
      </c>
      <c r="I12" s="6">
        <v>585</v>
      </c>
      <c r="J12" s="6">
        <v>586</v>
      </c>
      <c r="K12" s="6">
        <v>626</v>
      </c>
      <c r="L12" s="6">
        <v>934</v>
      </c>
      <c r="M12" s="7">
        <v>569</v>
      </c>
      <c r="O12" s="14"/>
    </row>
    <row r="13" spans="1:15" x14ac:dyDescent="0.3">
      <c r="A13" s="1" t="s">
        <v>10</v>
      </c>
      <c r="B13" s="5">
        <v>567</v>
      </c>
      <c r="C13" s="6">
        <v>582</v>
      </c>
      <c r="D13" s="6">
        <v>624</v>
      </c>
      <c r="E13" s="6">
        <v>850</v>
      </c>
      <c r="F13" s="6">
        <v>565</v>
      </c>
      <c r="G13" s="6">
        <v>582</v>
      </c>
      <c r="H13" s="6">
        <v>676</v>
      </c>
      <c r="I13" s="6">
        <v>575</v>
      </c>
      <c r="J13" s="6">
        <v>588</v>
      </c>
      <c r="K13" s="6">
        <v>627</v>
      </c>
      <c r="L13" s="6">
        <v>986</v>
      </c>
      <c r="M13" s="7">
        <v>585</v>
      </c>
    </row>
    <row r="14" spans="1:15" x14ac:dyDescent="0.3">
      <c r="A14" s="1" t="s">
        <v>11</v>
      </c>
      <c r="B14" s="5">
        <v>589</v>
      </c>
      <c r="C14" s="6">
        <v>585</v>
      </c>
      <c r="D14" s="6">
        <v>621</v>
      </c>
      <c r="E14" s="6">
        <v>849</v>
      </c>
      <c r="F14" s="6">
        <v>577</v>
      </c>
      <c r="G14" s="6">
        <v>583</v>
      </c>
      <c r="H14" s="6">
        <v>673</v>
      </c>
      <c r="I14" s="6">
        <v>570</v>
      </c>
      <c r="J14" s="6">
        <v>596</v>
      </c>
      <c r="K14" s="6">
        <v>621</v>
      </c>
      <c r="L14" s="6">
        <v>894</v>
      </c>
      <c r="M14" s="7">
        <v>576</v>
      </c>
    </row>
    <row r="15" spans="1:15" x14ac:dyDescent="0.3">
      <c r="A15" s="1" t="s">
        <v>12</v>
      </c>
      <c r="B15" s="5">
        <v>570</v>
      </c>
      <c r="C15" s="6">
        <v>591</v>
      </c>
      <c r="D15" s="6">
        <v>685</v>
      </c>
      <c r="E15" s="6">
        <v>563</v>
      </c>
      <c r="F15" s="6">
        <v>577</v>
      </c>
      <c r="G15" s="6">
        <v>620</v>
      </c>
      <c r="H15" s="6">
        <v>806</v>
      </c>
      <c r="I15" s="6">
        <v>583</v>
      </c>
      <c r="J15" s="6">
        <v>584</v>
      </c>
      <c r="K15" s="6">
        <v>720</v>
      </c>
      <c r="L15" s="6"/>
      <c r="M15" s="7">
        <v>573</v>
      </c>
    </row>
    <row r="16" spans="1:15" x14ac:dyDescent="0.3">
      <c r="A16" s="1" t="s">
        <v>13</v>
      </c>
      <c r="B16" s="5">
        <v>571</v>
      </c>
      <c r="C16" s="6">
        <v>595</v>
      </c>
      <c r="D16" s="6">
        <v>689</v>
      </c>
      <c r="E16" s="6">
        <v>559</v>
      </c>
      <c r="F16" s="6">
        <v>576</v>
      </c>
      <c r="G16" s="6">
        <v>620</v>
      </c>
      <c r="H16" s="6">
        <v>825</v>
      </c>
      <c r="I16" s="6">
        <v>579</v>
      </c>
      <c r="J16" s="6">
        <v>596</v>
      </c>
      <c r="K16" s="6">
        <v>731</v>
      </c>
      <c r="L16" s="6"/>
      <c r="M16" s="7">
        <v>578</v>
      </c>
    </row>
    <row r="17" spans="1:13" x14ac:dyDescent="0.3">
      <c r="A17" s="1" t="s">
        <v>14</v>
      </c>
      <c r="B17" s="5">
        <v>577</v>
      </c>
      <c r="C17" s="6">
        <v>601</v>
      </c>
      <c r="D17" s="6">
        <v>706</v>
      </c>
      <c r="E17" s="6">
        <v>564</v>
      </c>
      <c r="F17" s="6">
        <v>572</v>
      </c>
      <c r="G17" s="6">
        <v>607</v>
      </c>
      <c r="H17" s="6">
        <v>802</v>
      </c>
      <c r="I17" s="6">
        <v>585</v>
      </c>
      <c r="J17" s="6">
        <v>598</v>
      </c>
      <c r="K17" s="6">
        <v>729</v>
      </c>
      <c r="L17" s="6"/>
      <c r="M17" s="7">
        <v>583</v>
      </c>
    </row>
    <row r="18" spans="1:13" x14ac:dyDescent="0.3">
      <c r="A18" s="1" t="s">
        <v>15</v>
      </c>
      <c r="B18" s="8">
        <v>582</v>
      </c>
      <c r="C18" s="9">
        <v>596</v>
      </c>
      <c r="D18" s="9">
        <v>699</v>
      </c>
      <c r="E18" s="9">
        <v>560</v>
      </c>
      <c r="F18" s="9">
        <v>572</v>
      </c>
      <c r="G18" s="9">
        <v>589</v>
      </c>
      <c r="H18" s="9">
        <v>790</v>
      </c>
      <c r="I18" s="9">
        <v>584</v>
      </c>
      <c r="J18" s="9">
        <v>593</v>
      </c>
      <c r="K18" s="9">
        <v>707</v>
      </c>
      <c r="L18" s="9"/>
      <c r="M18" s="10">
        <v>582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8"/>
  <sheetViews>
    <sheetView workbookViewId="0">
      <selection activeCell="B19" sqref="B19:M26"/>
    </sheetView>
  </sheetViews>
  <sheetFormatPr defaultRowHeight="14.4" x14ac:dyDescent="0.3"/>
  <sheetData>
    <row r="3" spans="1:15" x14ac:dyDescent="0.3">
      <c r="A3" t="s">
        <v>0</v>
      </c>
      <c r="D3" t="s">
        <v>1</v>
      </c>
      <c r="K3" t="s">
        <v>18</v>
      </c>
    </row>
    <row r="4" spans="1:15" x14ac:dyDescent="0.3">
      <c r="A4" t="s">
        <v>3</v>
      </c>
      <c r="I4" t="s">
        <v>4</v>
      </c>
      <c r="K4" t="s">
        <v>19</v>
      </c>
    </row>
    <row r="5" spans="1:15" x14ac:dyDescent="0.3">
      <c r="A5" t="s">
        <v>6</v>
      </c>
    </row>
    <row r="9" spans="1:15" x14ac:dyDescent="0.3">
      <c r="B9" t="s">
        <v>7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16</v>
      </c>
    </row>
    <row r="11" spans="1:15" x14ac:dyDescent="0.3">
      <c r="A11" s="1" t="s">
        <v>8</v>
      </c>
      <c r="B11" s="2">
        <v>582</v>
      </c>
      <c r="C11" s="3">
        <v>600</v>
      </c>
      <c r="D11" s="3">
        <v>624</v>
      </c>
      <c r="E11" s="3">
        <v>837</v>
      </c>
      <c r="F11" s="3">
        <v>579</v>
      </c>
      <c r="G11" s="3">
        <v>602</v>
      </c>
      <c r="H11" s="3">
        <v>706</v>
      </c>
      <c r="I11" s="3">
        <v>604</v>
      </c>
      <c r="J11" s="3">
        <v>599</v>
      </c>
      <c r="K11" s="3">
        <v>641</v>
      </c>
      <c r="L11" s="3">
        <v>977</v>
      </c>
      <c r="M11" s="4">
        <v>589</v>
      </c>
      <c r="O11" s="13" t="s">
        <v>17</v>
      </c>
    </row>
    <row r="12" spans="1:15" x14ac:dyDescent="0.3">
      <c r="A12" s="1" t="s">
        <v>9</v>
      </c>
      <c r="B12" s="5">
        <v>573</v>
      </c>
      <c r="C12" s="6">
        <v>584</v>
      </c>
      <c r="D12" s="6">
        <v>629</v>
      </c>
      <c r="E12" s="6">
        <v>862</v>
      </c>
      <c r="F12" s="6">
        <v>586</v>
      </c>
      <c r="G12" s="6">
        <v>596</v>
      </c>
      <c r="H12" s="6">
        <v>684</v>
      </c>
      <c r="I12" s="6">
        <v>584</v>
      </c>
      <c r="J12" s="6">
        <v>598</v>
      </c>
      <c r="K12" s="6">
        <v>639</v>
      </c>
      <c r="L12" s="6">
        <v>978</v>
      </c>
      <c r="M12" s="7">
        <v>589</v>
      </c>
      <c r="O12" s="14"/>
    </row>
    <row r="13" spans="1:15" x14ac:dyDescent="0.3">
      <c r="A13" s="1" t="s">
        <v>10</v>
      </c>
      <c r="B13" s="5">
        <v>575</v>
      </c>
      <c r="C13" s="6">
        <v>586</v>
      </c>
      <c r="D13" s="6">
        <v>628</v>
      </c>
      <c r="E13" s="6">
        <v>858</v>
      </c>
      <c r="F13" s="6">
        <v>578</v>
      </c>
      <c r="G13" s="6">
        <v>596</v>
      </c>
      <c r="H13" s="6">
        <v>686</v>
      </c>
      <c r="I13" s="6">
        <v>572</v>
      </c>
      <c r="J13" s="6">
        <v>594</v>
      </c>
      <c r="K13" s="6">
        <v>633</v>
      </c>
      <c r="L13" s="6">
        <v>1014</v>
      </c>
      <c r="M13" s="7">
        <v>594</v>
      </c>
    </row>
    <row r="14" spans="1:15" x14ac:dyDescent="0.3">
      <c r="A14" s="1" t="s">
        <v>11</v>
      </c>
      <c r="B14" s="5">
        <v>594</v>
      </c>
      <c r="C14" s="6">
        <v>589</v>
      </c>
      <c r="D14" s="6">
        <v>630</v>
      </c>
      <c r="E14" s="6">
        <v>865</v>
      </c>
      <c r="F14" s="6">
        <v>581</v>
      </c>
      <c r="G14" s="6">
        <v>593</v>
      </c>
      <c r="H14" s="6">
        <v>687</v>
      </c>
      <c r="I14" s="6">
        <v>582</v>
      </c>
      <c r="J14" s="6">
        <v>608</v>
      </c>
      <c r="K14" s="6">
        <v>626</v>
      </c>
      <c r="L14" s="6">
        <v>910</v>
      </c>
      <c r="M14" s="7">
        <v>582</v>
      </c>
    </row>
    <row r="15" spans="1:15" x14ac:dyDescent="0.3">
      <c r="A15" s="1" t="s">
        <v>12</v>
      </c>
      <c r="B15" s="5">
        <v>581</v>
      </c>
      <c r="C15" s="6">
        <v>594</v>
      </c>
      <c r="D15" s="6">
        <v>697</v>
      </c>
      <c r="E15" s="6">
        <v>565</v>
      </c>
      <c r="F15" s="6">
        <v>577</v>
      </c>
      <c r="G15" s="6">
        <v>628</v>
      </c>
      <c r="H15" s="6">
        <v>832</v>
      </c>
      <c r="I15" s="6">
        <v>588</v>
      </c>
      <c r="J15" s="6">
        <v>603</v>
      </c>
      <c r="K15" s="6">
        <v>737</v>
      </c>
      <c r="L15" s="6"/>
      <c r="M15" s="7">
        <v>576</v>
      </c>
    </row>
    <row r="16" spans="1:15" x14ac:dyDescent="0.3">
      <c r="A16" s="1" t="s">
        <v>13</v>
      </c>
      <c r="B16" s="5">
        <v>584</v>
      </c>
      <c r="C16" s="6">
        <v>603</v>
      </c>
      <c r="D16" s="6">
        <v>695</v>
      </c>
      <c r="E16" s="6">
        <v>568</v>
      </c>
      <c r="F16" s="6">
        <v>580</v>
      </c>
      <c r="G16" s="6">
        <v>624</v>
      </c>
      <c r="H16" s="6">
        <v>849</v>
      </c>
      <c r="I16" s="6">
        <v>589</v>
      </c>
      <c r="J16" s="6">
        <v>602</v>
      </c>
      <c r="K16" s="6">
        <v>739</v>
      </c>
      <c r="L16" s="6"/>
      <c r="M16" s="7">
        <v>587</v>
      </c>
    </row>
    <row r="17" spans="1:13" x14ac:dyDescent="0.3">
      <c r="A17" s="1" t="s">
        <v>14</v>
      </c>
      <c r="B17" s="5">
        <v>577</v>
      </c>
      <c r="C17" s="6">
        <v>604</v>
      </c>
      <c r="D17" s="6">
        <v>716</v>
      </c>
      <c r="E17" s="6">
        <v>571</v>
      </c>
      <c r="F17" s="6">
        <v>579</v>
      </c>
      <c r="G17" s="6">
        <v>618</v>
      </c>
      <c r="H17" s="6">
        <v>827</v>
      </c>
      <c r="I17" s="6">
        <v>584</v>
      </c>
      <c r="J17" s="6">
        <v>601</v>
      </c>
      <c r="K17" s="6">
        <v>743</v>
      </c>
      <c r="L17" s="6"/>
      <c r="M17" s="7">
        <v>589</v>
      </c>
    </row>
    <row r="18" spans="1:13" x14ac:dyDescent="0.3">
      <c r="A18" s="1" t="s">
        <v>15</v>
      </c>
      <c r="B18" s="8">
        <v>588</v>
      </c>
      <c r="C18" s="9">
        <v>603</v>
      </c>
      <c r="D18" s="9">
        <v>702</v>
      </c>
      <c r="E18" s="9">
        <v>565</v>
      </c>
      <c r="F18" s="9">
        <v>581</v>
      </c>
      <c r="G18" s="9">
        <v>597</v>
      </c>
      <c r="H18" s="9">
        <v>798</v>
      </c>
      <c r="I18" s="9">
        <v>584</v>
      </c>
      <c r="J18" s="9">
        <v>601</v>
      </c>
      <c r="K18" s="9">
        <v>711</v>
      </c>
      <c r="L18" s="9"/>
      <c r="M18" s="10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18"/>
  <sheetViews>
    <sheetView workbookViewId="0">
      <selection activeCell="B19" sqref="B19:M26"/>
    </sheetView>
  </sheetViews>
  <sheetFormatPr defaultRowHeight="14.4" x14ac:dyDescent="0.3"/>
  <sheetData>
    <row r="3" spans="1:15" x14ac:dyDescent="0.3">
      <c r="A3" t="s">
        <v>0</v>
      </c>
      <c r="D3" t="s">
        <v>1</v>
      </c>
      <c r="K3" t="s">
        <v>20</v>
      </c>
    </row>
    <row r="4" spans="1:15" x14ac:dyDescent="0.3">
      <c r="A4" t="s">
        <v>3</v>
      </c>
      <c r="I4" t="s">
        <v>4</v>
      </c>
      <c r="K4" t="s">
        <v>21</v>
      </c>
    </row>
    <row r="5" spans="1:15" x14ac:dyDescent="0.3">
      <c r="A5" t="s">
        <v>6</v>
      </c>
    </row>
    <row r="9" spans="1:15" x14ac:dyDescent="0.3">
      <c r="B9" t="s">
        <v>7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16</v>
      </c>
    </row>
    <row r="11" spans="1:15" x14ac:dyDescent="0.3">
      <c r="A11" s="1" t="s">
        <v>8</v>
      </c>
      <c r="B11" s="2">
        <v>599</v>
      </c>
      <c r="C11" s="3">
        <v>605</v>
      </c>
      <c r="D11" s="3">
        <v>626</v>
      </c>
      <c r="E11" s="3">
        <v>847</v>
      </c>
      <c r="F11" s="3">
        <v>585</v>
      </c>
      <c r="G11" s="3">
        <v>602</v>
      </c>
      <c r="H11" s="3">
        <v>706</v>
      </c>
      <c r="I11" s="3">
        <v>596</v>
      </c>
      <c r="J11" s="3">
        <v>591</v>
      </c>
      <c r="K11" s="3">
        <v>641</v>
      </c>
      <c r="L11" s="3">
        <v>985</v>
      </c>
      <c r="M11" s="4">
        <v>585</v>
      </c>
      <c r="O11" s="13" t="s">
        <v>17</v>
      </c>
    </row>
    <row r="12" spans="1:15" x14ac:dyDescent="0.3">
      <c r="A12" s="1" t="s">
        <v>9</v>
      </c>
      <c r="B12" s="5">
        <v>578</v>
      </c>
      <c r="C12" s="6">
        <v>590</v>
      </c>
      <c r="D12" s="6">
        <v>629</v>
      </c>
      <c r="E12" s="6">
        <v>866</v>
      </c>
      <c r="F12" s="6">
        <v>581</v>
      </c>
      <c r="G12" s="6">
        <v>595</v>
      </c>
      <c r="H12" s="6">
        <v>683</v>
      </c>
      <c r="I12" s="6">
        <v>590</v>
      </c>
      <c r="J12" s="6">
        <v>598</v>
      </c>
      <c r="K12" s="6">
        <v>635</v>
      </c>
      <c r="L12" s="6">
        <v>983</v>
      </c>
      <c r="M12" s="7">
        <v>591</v>
      </c>
      <c r="O12" s="14"/>
    </row>
    <row r="13" spans="1:15" x14ac:dyDescent="0.3">
      <c r="A13" s="1" t="s">
        <v>10</v>
      </c>
      <c r="B13" s="5">
        <v>578</v>
      </c>
      <c r="C13" s="6">
        <v>587</v>
      </c>
      <c r="D13" s="6">
        <v>635</v>
      </c>
      <c r="E13" s="6">
        <v>868</v>
      </c>
      <c r="F13" s="6">
        <v>584</v>
      </c>
      <c r="G13" s="6">
        <v>595</v>
      </c>
      <c r="H13" s="6">
        <v>682</v>
      </c>
      <c r="I13" s="6">
        <v>584</v>
      </c>
      <c r="J13" s="6">
        <v>596</v>
      </c>
      <c r="K13" s="6">
        <v>640</v>
      </c>
      <c r="L13" s="6">
        <v>1018</v>
      </c>
      <c r="M13" s="7">
        <v>592</v>
      </c>
    </row>
    <row r="14" spans="1:15" x14ac:dyDescent="0.3">
      <c r="A14" s="1" t="s">
        <v>11</v>
      </c>
      <c r="B14" s="5">
        <v>605</v>
      </c>
      <c r="C14" s="6">
        <v>594</v>
      </c>
      <c r="D14" s="6">
        <v>640</v>
      </c>
      <c r="E14" s="6">
        <v>869</v>
      </c>
      <c r="F14" s="6">
        <v>581</v>
      </c>
      <c r="G14" s="6">
        <v>595</v>
      </c>
      <c r="H14" s="6">
        <v>690</v>
      </c>
      <c r="I14" s="6">
        <v>581</v>
      </c>
      <c r="J14" s="6">
        <v>605</v>
      </c>
      <c r="K14" s="6">
        <v>629</v>
      </c>
      <c r="L14" s="6">
        <v>912</v>
      </c>
      <c r="M14" s="7">
        <v>584</v>
      </c>
    </row>
    <row r="15" spans="1:15" x14ac:dyDescent="0.3">
      <c r="A15" s="1" t="s">
        <v>12</v>
      </c>
      <c r="B15" s="5">
        <v>583</v>
      </c>
      <c r="C15" s="6">
        <v>597</v>
      </c>
      <c r="D15" s="6">
        <v>694</v>
      </c>
      <c r="E15" s="6">
        <v>570</v>
      </c>
      <c r="F15" s="6">
        <v>588</v>
      </c>
      <c r="G15" s="6">
        <v>622</v>
      </c>
      <c r="H15" s="6">
        <v>833</v>
      </c>
      <c r="I15" s="6">
        <v>591</v>
      </c>
      <c r="J15" s="6">
        <v>603</v>
      </c>
      <c r="K15" s="6">
        <v>740</v>
      </c>
      <c r="L15" s="6"/>
      <c r="M15" s="7">
        <v>587</v>
      </c>
    </row>
    <row r="16" spans="1:15" x14ac:dyDescent="0.3">
      <c r="A16" s="1" t="s">
        <v>13</v>
      </c>
      <c r="B16" s="5">
        <v>582</v>
      </c>
      <c r="C16" s="6">
        <v>605</v>
      </c>
      <c r="D16" s="6">
        <v>695</v>
      </c>
      <c r="E16" s="6">
        <v>572</v>
      </c>
      <c r="F16" s="6">
        <v>581</v>
      </c>
      <c r="G16" s="6">
        <v>632</v>
      </c>
      <c r="H16" s="6">
        <v>855</v>
      </c>
      <c r="I16" s="6">
        <v>590</v>
      </c>
      <c r="J16" s="6">
        <v>606</v>
      </c>
      <c r="K16" s="6">
        <v>749</v>
      </c>
      <c r="L16" s="6"/>
      <c r="M16" s="7">
        <v>590</v>
      </c>
    </row>
    <row r="17" spans="1:13" x14ac:dyDescent="0.3">
      <c r="A17" s="1" t="s">
        <v>14</v>
      </c>
      <c r="B17" s="5">
        <v>578</v>
      </c>
      <c r="C17" s="6">
        <v>603</v>
      </c>
      <c r="D17" s="6">
        <v>721</v>
      </c>
      <c r="E17" s="6">
        <v>570</v>
      </c>
      <c r="F17" s="6">
        <v>588</v>
      </c>
      <c r="G17" s="6">
        <v>621</v>
      </c>
      <c r="H17" s="6">
        <v>834</v>
      </c>
      <c r="I17" s="6">
        <v>590</v>
      </c>
      <c r="J17" s="6">
        <v>605</v>
      </c>
      <c r="K17" s="6">
        <v>746</v>
      </c>
      <c r="L17" s="6"/>
      <c r="M17" s="7">
        <v>590</v>
      </c>
    </row>
    <row r="18" spans="1:13" x14ac:dyDescent="0.3">
      <c r="A18" s="1" t="s">
        <v>15</v>
      </c>
      <c r="B18" s="8">
        <v>583</v>
      </c>
      <c r="C18" s="9">
        <v>599</v>
      </c>
      <c r="D18" s="9">
        <v>689</v>
      </c>
      <c r="E18" s="9">
        <v>563</v>
      </c>
      <c r="F18" s="9">
        <v>578</v>
      </c>
      <c r="G18" s="9">
        <v>598</v>
      </c>
      <c r="H18" s="9">
        <v>813</v>
      </c>
      <c r="I18" s="9">
        <v>587</v>
      </c>
      <c r="J18" s="9">
        <v>601</v>
      </c>
      <c r="K18" s="9">
        <v>714</v>
      </c>
      <c r="L18" s="9"/>
      <c r="M18" s="10">
        <v>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22"/>
  <sheetViews>
    <sheetView workbookViewId="0">
      <selection activeCell="P2" sqref="P2:S23"/>
    </sheetView>
  </sheetViews>
  <sheetFormatPr defaultRowHeight="14.4" x14ac:dyDescent="0.3"/>
  <sheetData>
    <row r="1" spans="2:19" x14ac:dyDescent="0.3">
      <c r="P1" t="s">
        <v>22</v>
      </c>
      <c r="Q1" t="s">
        <v>23</v>
      </c>
      <c r="R1" t="s">
        <v>24</v>
      </c>
      <c r="S1" t="s">
        <v>25</v>
      </c>
    </row>
    <row r="2" spans="2:19" x14ac:dyDescent="0.3">
      <c r="B2">
        <f>AVERAGE('R1'!B11,'R2'!B11,'R3'!B11)</f>
        <v>591.33333333333337</v>
      </c>
      <c r="C2">
        <f>AVERAGE('R1'!C11,'R2'!C11,'R3'!C11)</f>
        <v>603.66666666666663</v>
      </c>
      <c r="D2">
        <f>AVERAGE('R1'!D11,'R2'!D11,'R3'!D11)</f>
        <v>623</v>
      </c>
      <c r="E2">
        <f>AVERAGE('R1'!E11,'R2'!E11,'R3'!E11)</f>
        <v>844.66666666666663</v>
      </c>
      <c r="F2">
        <f>AVERAGE('R1'!F11,'R2'!F11,'R3'!F11)</f>
        <v>578</v>
      </c>
      <c r="G2">
        <f>AVERAGE('R1'!G11,'R2'!G11,'R3'!G11)</f>
        <v>597.66666666666663</v>
      </c>
      <c r="H2">
        <f>AVERAGE('R1'!H11,'R2'!H11,'R3'!H11)</f>
        <v>698.33333333333337</v>
      </c>
      <c r="I2">
        <f>AVERAGE('R1'!I11,'R2'!I11,'R3'!I11)</f>
        <v>598.33333333333337</v>
      </c>
      <c r="J2">
        <f>AVERAGE('R1'!J11,'R2'!J11,'R3'!J11)</f>
        <v>592.33333333333337</v>
      </c>
      <c r="K2">
        <f>AVERAGE('R1'!K11,'R2'!K11,'R3'!K11)</f>
        <v>638.33333333333337</v>
      </c>
      <c r="L2">
        <f>AVERAGE('R1'!L11,'R2'!L11,'R3'!L11)</f>
        <v>980.33333333333337</v>
      </c>
      <c r="M2">
        <f>AVERAGE('R1'!M11,'R2'!M11,'R3'!M11)</f>
        <v>584.66666666666663</v>
      </c>
      <c r="P2" t="s">
        <v>26</v>
      </c>
      <c r="Q2">
        <v>0</v>
      </c>
      <c r="R2">
        <f>AVERAGE(B13:B16)</f>
        <v>4.666666666666714</v>
      </c>
      <c r="S2">
        <f>_xlfn.STDEV.P(B13:B16)</f>
        <v>10.466878978738395</v>
      </c>
    </row>
    <row r="3" spans="2:19" x14ac:dyDescent="0.3">
      <c r="B3">
        <f>AVERAGE('R1'!B12,'R2'!B12,'R3'!B12)</f>
        <v>572.66666666666663</v>
      </c>
      <c r="C3">
        <f>AVERAGE('R1'!C12,'R2'!C12,'R3'!C12)</f>
        <v>584.66666666666663</v>
      </c>
      <c r="D3">
        <f>AVERAGE('R1'!D12,'R2'!D12,'R3'!D12)</f>
        <v>628</v>
      </c>
      <c r="E3">
        <f>AVERAGE('R1'!E12,'R2'!E12,'R3'!E12)</f>
        <v>860</v>
      </c>
      <c r="F3">
        <f>AVERAGE('R1'!F12,'R2'!F12,'R3'!F12)</f>
        <v>580.33333333333337</v>
      </c>
      <c r="G3">
        <f>AVERAGE('R1'!G12,'R2'!G12,'R3'!G12)</f>
        <v>590.66666666666663</v>
      </c>
      <c r="H3">
        <f>AVERAGE('R1'!H12,'R2'!H12,'R3'!H12)</f>
        <v>674.33333333333337</v>
      </c>
      <c r="I3">
        <f>AVERAGE('R1'!I12,'R2'!I12,'R3'!I12)</f>
        <v>586.33333333333337</v>
      </c>
      <c r="J3">
        <f>AVERAGE('R1'!J12,'R2'!J12,'R3'!J12)</f>
        <v>594</v>
      </c>
      <c r="K3">
        <f>AVERAGE('R1'!K12,'R2'!K12,'R3'!K12)</f>
        <v>633.33333333333337</v>
      </c>
      <c r="L3">
        <f>AVERAGE('R1'!L12,'R2'!L12,'R3'!L12)</f>
        <v>965</v>
      </c>
      <c r="M3">
        <f>AVERAGE('R1'!M12,'R2'!M12,'R3'!M12)</f>
        <v>583</v>
      </c>
      <c r="P3" t="s">
        <v>26</v>
      </c>
      <c r="Q3">
        <v>2.5000000000000001E-3</v>
      </c>
      <c r="R3">
        <f>AVERAGE(B17:B20)</f>
        <v>1.0000000000000568</v>
      </c>
      <c r="S3">
        <f>_xlfn.STDEV.P(B17:B20)</f>
        <v>2.7588242262078162</v>
      </c>
    </row>
    <row r="4" spans="2:19" x14ac:dyDescent="0.3">
      <c r="B4">
        <f>AVERAGE('R1'!B13,'R2'!B13,'R3'!B13)</f>
        <v>573.33333333333337</v>
      </c>
      <c r="C4">
        <f>AVERAGE('R1'!C13,'R2'!C13,'R3'!C13)</f>
        <v>585</v>
      </c>
      <c r="D4">
        <f>AVERAGE('R1'!D13,'R2'!D13,'R3'!D13)</f>
        <v>629</v>
      </c>
      <c r="E4">
        <f>AVERAGE('R1'!E13,'R2'!E13,'R3'!E13)</f>
        <v>858.66666666666663</v>
      </c>
      <c r="F4">
        <f>AVERAGE('R1'!F13,'R2'!F13,'R3'!F13)</f>
        <v>575.66666666666663</v>
      </c>
      <c r="G4">
        <f>AVERAGE('R1'!G13,'R2'!G13,'R3'!G13)</f>
        <v>591</v>
      </c>
      <c r="H4">
        <f>AVERAGE('R1'!H13,'R2'!H13,'R3'!H13)</f>
        <v>681.33333333333337</v>
      </c>
      <c r="I4">
        <f>AVERAGE('R1'!I13,'R2'!I13,'R3'!I13)</f>
        <v>577</v>
      </c>
      <c r="J4">
        <f>AVERAGE('R1'!J13,'R2'!J13,'R3'!J13)</f>
        <v>592.66666666666663</v>
      </c>
      <c r="K4">
        <f>AVERAGE('R1'!K13,'R2'!K13,'R3'!K13)</f>
        <v>633.33333333333337</v>
      </c>
      <c r="L4">
        <f>AVERAGE('R1'!L13,'R2'!L13,'R3'!L13)</f>
        <v>1006</v>
      </c>
      <c r="M4">
        <f>AVERAGE('R1'!M13,'R2'!M13,'R3'!M13)</f>
        <v>590.33333333333337</v>
      </c>
      <c r="P4" t="s">
        <v>26</v>
      </c>
      <c r="Q4">
        <v>5.0000000000000001E-3</v>
      </c>
      <c r="R4">
        <f>AVERAGE(C13:C16)</f>
        <v>12.000000000000028</v>
      </c>
      <c r="S4">
        <f>_xlfn.STDEV.P(C13:C16)</f>
        <v>7.7280154129130763</v>
      </c>
    </row>
    <row r="5" spans="2:19" x14ac:dyDescent="0.3">
      <c r="B5">
        <f>AVERAGE('R1'!B14,'R2'!B14,'R3'!B14)</f>
        <v>596</v>
      </c>
      <c r="C5">
        <f>AVERAGE('R1'!C14,'R2'!C14,'R3'!C14)</f>
        <v>589.33333333333337</v>
      </c>
      <c r="D5">
        <f>AVERAGE('R1'!D14,'R2'!D14,'R3'!D14)</f>
        <v>630.33333333333337</v>
      </c>
      <c r="E5">
        <f>AVERAGE('R1'!E14,'R2'!E14,'R3'!E14)</f>
        <v>861</v>
      </c>
      <c r="F5">
        <f>AVERAGE('R1'!F14,'R2'!F14,'R3'!F14)</f>
        <v>579.66666666666663</v>
      </c>
      <c r="G5">
        <f>AVERAGE('R1'!G14,'R2'!G14,'R3'!G14)</f>
        <v>590.33333333333337</v>
      </c>
      <c r="H5">
        <f>AVERAGE('R1'!H14,'R2'!H14,'R3'!H14)</f>
        <v>683.33333333333337</v>
      </c>
      <c r="I5">
        <f>AVERAGE('R1'!I14,'R2'!I14,'R3'!I14)</f>
        <v>577.66666666666663</v>
      </c>
      <c r="J5">
        <f>AVERAGE('R1'!J14,'R2'!J14,'R3'!J14)</f>
        <v>603</v>
      </c>
      <c r="K5">
        <f>AVERAGE('R1'!K14,'R2'!K14,'R3'!K14)</f>
        <v>625.33333333333337</v>
      </c>
      <c r="L5">
        <f>AVERAGE('R1'!L14,'R2'!L14,'R3'!L14)</f>
        <v>905.33333333333337</v>
      </c>
      <c r="M5">
        <f>AVERAGE('R1'!M14,'R2'!M14,'R3'!M14)</f>
        <v>580.66666666666663</v>
      </c>
      <c r="P5" t="s">
        <v>26</v>
      </c>
      <c r="Q5">
        <v>0.01</v>
      </c>
      <c r="R5">
        <f>AVERAGE(C17:C20)</f>
        <v>20.583333333333371</v>
      </c>
      <c r="S5">
        <f>_xlfn.STDEV.P(C17:C20)</f>
        <v>3.2521360501813046</v>
      </c>
    </row>
    <row r="6" spans="2:19" x14ac:dyDescent="0.3">
      <c r="B6">
        <f>AVERAGE('R1'!B15,'R2'!B15,'R3'!B15)</f>
        <v>578</v>
      </c>
      <c r="C6">
        <f>AVERAGE('R1'!C15,'R2'!C15,'R3'!C15)</f>
        <v>594</v>
      </c>
      <c r="D6">
        <f>AVERAGE('R1'!D15,'R2'!D15,'R3'!D15)</f>
        <v>692</v>
      </c>
      <c r="E6">
        <f>AVERAGE('R1'!E15,'R2'!E15,'R3'!E15)</f>
        <v>566</v>
      </c>
      <c r="F6">
        <f>AVERAGE('R1'!F15,'R2'!F15,'R3'!F15)</f>
        <v>580.66666666666663</v>
      </c>
      <c r="G6">
        <f>AVERAGE('R1'!G15,'R2'!G15,'R3'!G15)</f>
        <v>623.33333333333337</v>
      </c>
      <c r="H6">
        <f>AVERAGE('R1'!H15,'R2'!H15,'R3'!H15)</f>
        <v>823.66666666666663</v>
      </c>
      <c r="I6">
        <f>AVERAGE('R1'!I15,'R2'!I15,'R3'!I15)</f>
        <v>587.33333333333337</v>
      </c>
      <c r="J6">
        <f>AVERAGE('R1'!J15,'R2'!J15,'R3'!J15)</f>
        <v>596.66666666666663</v>
      </c>
      <c r="K6">
        <f>AVERAGE('R1'!K15,'R2'!K15,'R3'!K15)</f>
        <v>732.33333333333337</v>
      </c>
      <c r="M6">
        <f>AVERAGE('R1'!M15,'R2'!M15,'R3'!M15)</f>
        <v>578.66666666666663</v>
      </c>
      <c r="P6" t="s">
        <v>26</v>
      </c>
      <c r="Q6">
        <v>0.02</v>
      </c>
      <c r="R6">
        <f>AVERAGE(D13:D16)</f>
        <v>48.916666666666714</v>
      </c>
      <c r="S6">
        <f>_xlfn.STDEV.P(D13:D16)</f>
        <v>2.7726341266023637</v>
      </c>
    </row>
    <row r="7" spans="2:19" x14ac:dyDescent="0.3">
      <c r="B7">
        <f>AVERAGE('R1'!B16,'R2'!B16,'R3'!B16)</f>
        <v>579</v>
      </c>
      <c r="C7">
        <f>AVERAGE('R1'!C16,'R2'!C16,'R3'!C16)</f>
        <v>601</v>
      </c>
      <c r="D7">
        <f>AVERAGE('R1'!D16,'R2'!D16,'R3'!D16)</f>
        <v>693</v>
      </c>
      <c r="E7">
        <f>AVERAGE('R1'!E16,'R2'!E16,'R3'!E16)</f>
        <v>566.33333333333337</v>
      </c>
      <c r="F7">
        <f>AVERAGE('R1'!F16,'R2'!F16,'R3'!F16)</f>
        <v>579</v>
      </c>
      <c r="G7">
        <f>AVERAGE('R1'!G16,'R2'!G16,'R3'!G16)</f>
        <v>625.33333333333337</v>
      </c>
      <c r="H7">
        <f>AVERAGE('R1'!H16,'R2'!H16,'R3'!H16)</f>
        <v>843</v>
      </c>
      <c r="I7">
        <f>AVERAGE('R1'!I16,'R2'!I16,'R3'!I16)</f>
        <v>586</v>
      </c>
      <c r="J7">
        <f>AVERAGE('R1'!J16,'R2'!J16,'R3'!J16)</f>
        <v>601.33333333333337</v>
      </c>
      <c r="K7">
        <f>AVERAGE('R1'!K16,'R2'!K16,'R3'!K16)</f>
        <v>739.66666666666663</v>
      </c>
      <c r="M7">
        <f>AVERAGE('R1'!M16,'R2'!M16,'R3'!M16)</f>
        <v>585</v>
      </c>
      <c r="P7" t="s">
        <v>26</v>
      </c>
      <c r="Q7">
        <v>0.05</v>
      </c>
      <c r="R7">
        <f>AVERAGE(D17:D20)</f>
        <v>120.33333333333337</v>
      </c>
      <c r="S7">
        <f>_xlfn.STDEV.P(D17:D20)</f>
        <v>9.0215790684829233</v>
      </c>
    </row>
    <row r="8" spans="2:19" x14ac:dyDescent="0.3">
      <c r="B8">
        <f>AVERAGE('R1'!B17,'R2'!B17,'R3'!B17)</f>
        <v>577.33333333333337</v>
      </c>
      <c r="C8">
        <f>AVERAGE('R1'!C17,'R2'!C17,'R3'!C17)</f>
        <v>602.66666666666663</v>
      </c>
      <c r="D8">
        <f>AVERAGE('R1'!D17,'R2'!D17,'R3'!D17)</f>
        <v>714.33333333333337</v>
      </c>
      <c r="E8">
        <f>AVERAGE('R1'!E17,'R2'!E17,'R3'!E17)</f>
        <v>568.33333333333337</v>
      </c>
      <c r="F8">
        <f>AVERAGE('R1'!F17,'R2'!F17,'R3'!F17)</f>
        <v>579.66666666666663</v>
      </c>
      <c r="G8">
        <f>AVERAGE('R1'!G17,'R2'!G17,'R3'!G17)</f>
        <v>615.33333333333337</v>
      </c>
      <c r="H8">
        <f>AVERAGE('R1'!H17,'R2'!H17,'R3'!H17)</f>
        <v>821</v>
      </c>
      <c r="I8">
        <f>AVERAGE('R1'!I17,'R2'!I17,'R3'!I17)</f>
        <v>586.33333333333337</v>
      </c>
      <c r="J8">
        <f>AVERAGE('R1'!J17,'R2'!J17,'R3'!J17)</f>
        <v>601.33333333333337</v>
      </c>
      <c r="K8">
        <f>AVERAGE('R1'!K17,'R2'!K17,'R3'!K17)</f>
        <v>739.33333333333337</v>
      </c>
      <c r="M8">
        <f>AVERAGE('R1'!M17,'R2'!M17,'R3'!M17)</f>
        <v>587.33333333333337</v>
      </c>
      <c r="P8" t="s">
        <v>26</v>
      </c>
      <c r="Q8">
        <v>0.1</v>
      </c>
      <c r="R8">
        <f>AVERAGE(E13:E16)</f>
        <v>277.41666666666669</v>
      </c>
      <c r="S8">
        <f>_xlfn.STDEV.P(E13:E16)</f>
        <v>6.6431878224572722</v>
      </c>
    </row>
    <row r="9" spans="2:19" x14ac:dyDescent="0.3">
      <c r="B9">
        <f>AVERAGE('R1'!B18,'R2'!B18,'R3'!B18)</f>
        <v>584.33333333333337</v>
      </c>
      <c r="C9">
        <f>AVERAGE('R1'!C18,'R2'!C18,'R3'!C18)</f>
        <v>599.33333333333337</v>
      </c>
      <c r="D9">
        <f>AVERAGE('R1'!D18,'R2'!D18,'R3'!D18)</f>
        <v>696.66666666666663</v>
      </c>
      <c r="E9">
        <f>AVERAGE('R1'!E18,'R2'!E18,'R3'!E18)</f>
        <v>562.66666666666663</v>
      </c>
      <c r="F9">
        <f>AVERAGE('R1'!F18,'R2'!F18,'R3'!F18)</f>
        <v>577</v>
      </c>
      <c r="G9">
        <f>AVERAGE('R1'!G18,'R2'!G18,'R3'!G18)</f>
        <v>594.66666666666663</v>
      </c>
      <c r="H9">
        <f>AVERAGE('R1'!H18,'R2'!H18,'R3'!H18)</f>
        <v>800.33333333333337</v>
      </c>
      <c r="I9">
        <f>AVERAGE('R1'!I18,'R2'!I18,'R3'!I18)</f>
        <v>585</v>
      </c>
      <c r="J9">
        <f>AVERAGE('R1'!J18,'R2'!J18,'R3'!J18)</f>
        <v>598.33333333333337</v>
      </c>
      <c r="K9">
        <f>AVERAGE('R1'!K18,'R2'!K18,'R3'!K18)</f>
        <v>710.66666666666663</v>
      </c>
      <c r="M9">
        <f>AVERAGE('R1'!M18,'R2'!M18,'R3'!M18)</f>
        <v>587.66666666666663</v>
      </c>
      <c r="P9" t="s">
        <v>27</v>
      </c>
      <c r="Q9">
        <v>0</v>
      </c>
      <c r="R9">
        <f>AVERAGE(E17:E20)</f>
        <v>-12.833333333333286</v>
      </c>
      <c r="S9">
        <f>_xlfn.STDEV.P(E17:E20)</f>
        <v>2.0344259359556442</v>
      </c>
    </row>
    <row r="10" spans="2:19" x14ac:dyDescent="0.3">
      <c r="P10" t="s">
        <v>27</v>
      </c>
      <c r="Q10">
        <v>2.5000000000000001E-3</v>
      </c>
      <c r="R10">
        <f>AVERAGE(F13:F16)</f>
        <v>-0.24999999999997158</v>
      </c>
      <c r="S10">
        <f>_xlfn.STDEV.P(F13:F16)</f>
        <v>1.8008485654145436</v>
      </c>
    </row>
    <row r="11" spans="2:19" x14ac:dyDescent="0.3">
      <c r="P11" t="s">
        <v>27</v>
      </c>
      <c r="Q11">
        <v>5.0000000000000001E-3</v>
      </c>
      <c r="R11">
        <f>AVERAGE(F17:F20)</f>
        <v>0.41666666666668561</v>
      </c>
      <c r="S11">
        <f>_xlfn.STDEV.P(F17:F20)</f>
        <v>1.341123078285908</v>
      </c>
    </row>
    <row r="12" spans="2:19" x14ac:dyDescent="0.3">
      <c r="P12" t="s">
        <v>27</v>
      </c>
      <c r="Q12">
        <v>0.01</v>
      </c>
      <c r="R12">
        <f>AVERAGE(G13:G16)</f>
        <v>13.750000000000028</v>
      </c>
      <c r="S12">
        <f>_xlfn.STDEV.P(G13:G16)</f>
        <v>3.0402393911590959</v>
      </c>
    </row>
    <row r="13" spans="2:19" x14ac:dyDescent="0.3">
      <c r="B13">
        <f t="shared" ref="B13:L13" si="0">B2-$M$13</f>
        <v>12.666666666666742</v>
      </c>
      <c r="C13">
        <f t="shared" si="0"/>
        <v>25</v>
      </c>
      <c r="D13">
        <f t="shared" si="0"/>
        <v>44.333333333333371</v>
      </c>
      <c r="E13">
        <f t="shared" si="0"/>
        <v>266</v>
      </c>
      <c r="F13">
        <f t="shared" si="0"/>
        <v>-0.66666666666662877</v>
      </c>
      <c r="G13">
        <f t="shared" si="0"/>
        <v>19</v>
      </c>
      <c r="H13">
        <f t="shared" si="0"/>
        <v>119.66666666666674</v>
      </c>
      <c r="I13">
        <f t="shared" si="0"/>
        <v>19.666666666666742</v>
      </c>
      <c r="J13">
        <f t="shared" si="0"/>
        <v>13.666666666666742</v>
      </c>
      <c r="K13">
        <f t="shared" si="0"/>
        <v>59.666666666666742</v>
      </c>
      <c r="L13">
        <f t="shared" si="0"/>
        <v>401.66666666666674</v>
      </c>
      <c r="M13">
        <f>MIN(M2:M9)</f>
        <v>578.66666666666663</v>
      </c>
      <c r="P13" t="s">
        <v>27</v>
      </c>
      <c r="Q13">
        <v>0.02</v>
      </c>
      <c r="R13">
        <f>AVERAGE(G17:G20)</f>
        <v>36.000000000000057</v>
      </c>
      <c r="S13">
        <f>_xlfn.STDEV.P(G17:G20)</f>
        <v>12.138094304022108</v>
      </c>
    </row>
    <row r="14" spans="2:19" x14ac:dyDescent="0.3">
      <c r="B14">
        <f t="shared" ref="B14:L14" si="1">B3-$M$13</f>
        <v>-6</v>
      </c>
      <c r="C14">
        <f t="shared" si="1"/>
        <v>6</v>
      </c>
      <c r="D14">
        <f t="shared" si="1"/>
        <v>49.333333333333371</v>
      </c>
      <c r="E14">
        <f t="shared" si="1"/>
        <v>281.33333333333337</v>
      </c>
      <c r="F14">
        <f t="shared" si="1"/>
        <v>1.6666666666667425</v>
      </c>
      <c r="G14">
        <f t="shared" si="1"/>
        <v>12</v>
      </c>
      <c r="H14">
        <f t="shared" si="1"/>
        <v>95.666666666666742</v>
      </c>
      <c r="I14">
        <f t="shared" si="1"/>
        <v>7.6666666666667425</v>
      </c>
      <c r="J14">
        <f t="shared" si="1"/>
        <v>15.333333333333371</v>
      </c>
      <c r="K14">
        <f t="shared" si="1"/>
        <v>54.666666666666742</v>
      </c>
      <c r="L14">
        <f t="shared" si="1"/>
        <v>386.33333333333337</v>
      </c>
      <c r="P14" t="s">
        <v>27</v>
      </c>
      <c r="Q14">
        <v>0.05</v>
      </c>
      <c r="R14">
        <f>AVERAGE(H13:H16)</f>
        <v>105.66666666666674</v>
      </c>
      <c r="S14">
        <f>_xlfn.STDEV.P(H13:H16)</f>
        <v>8.7464278422679502</v>
      </c>
    </row>
    <row r="15" spans="2:19" x14ac:dyDescent="0.3">
      <c r="B15">
        <f t="shared" ref="B15:L15" si="2">B4-$M$13</f>
        <v>-5.3333333333332575</v>
      </c>
      <c r="C15">
        <f t="shared" si="2"/>
        <v>6.3333333333333712</v>
      </c>
      <c r="D15">
        <f t="shared" si="2"/>
        <v>50.333333333333371</v>
      </c>
      <c r="E15">
        <f t="shared" si="2"/>
        <v>280</v>
      </c>
      <c r="F15">
        <f t="shared" si="2"/>
        <v>-3</v>
      </c>
      <c r="G15">
        <f t="shared" si="2"/>
        <v>12.333333333333371</v>
      </c>
      <c r="H15">
        <f t="shared" si="2"/>
        <v>102.66666666666674</v>
      </c>
      <c r="I15">
        <f t="shared" si="2"/>
        <v>-1.6666666666666288</v>
      </c>
      <c r="J15">
        <f t="shared" si="2"/>
        <v>14</v>
      </c>
      <c r="K15">
        <f t="shared" si="2"/>
        <v>54.666666666666742</v>
      </c>
      <c r="L15">
        <f t="shared" si="2"/>
        <v>427.33333333333337</v>
      </c>
      <c r="P15" t="s">
        <v>27</v>
      </c>
      <c r="Q15">
        <v>0.1</v>
      </c>
      <c r="R15">
        <f>AVERAGE(H17:H20)</f>
        <v>243.33333333333337</v>
      </c>
      <c r="S15">
        <f>_xlfn.STDEV.P(H17:H20)</f>
        <v>15.118053960598074</v>
      </c>
    </row>
    <row r="16" spans="2:19" x14ac:dyDescent="0.3">
      <c r="B16">
        <f t="shared" ref="B16:L16" si="3">B5-$M$13</f>
        <v>17.333333333333371</v>
      </c>
      <c r="C16">
        <f t="shared" si="3"/>
        <v>10.666666666666742</v>
      </c>
      <c r="D16">
        <f t="shared" si="3"/>
        <v>51.666666666666742</v>
      </c>
      <c r="E16">
        <f t="shared" si="3"/>
        <v>282.33333333333337</v>
      </c>
      <c r="F16">
        <f t="shared" si="3"/>
        <v>1</v>
      </c>
      <c r="G16">
        <f t="shared" si="3"/>
        <v>11.666666666666742</v>
      </c>
      <c r="H16">
        <f t="shared" si="3"/>
        <v>104.66666666666674</v>
      </c>
      <c r="I16">
        <f t="shared" si="3"/>
        <v>-1</v>
      </c>
      <c r="J16">
        <f t="shared" si="3"/>
        <v>24.333333333333371</v>
      </c>
      <c r="K16">
        <f t="shared" si="3"/>
        <v>46.666666666666742</v>
      </c>
      <c r="L16">
        <f t="shared" si="3"/>
        <v>326.66666666666674</v>
      </c>
      <c r="P16" s="15" t="s">
        <v>28</v>
      </c>
      <c r="Q16">
        <v>0</v>
      </c>
      <c r="R16">
        <f>AVERAGE(I13:I16)</f>
        <v>6.166666666666714</v>
      </c>
      <c r="S16">
        <f>_xlfn.STDEV.P(I13:I16)</f>
        <v>8.6200670273238593</v>
      </c>
    </row>
    <row r="17" spans="2:19" x14ac:dyDescent="0.3">
      <c r="B17">
        <f t="shared" ref="B17:K17" si="4">B6-$M$13</f>
        <v>-0.66666666666662877</v>
      </c>
      <c r="C17">
        <f t="shared" si="4"/>
        <v>15.333333333333371</v>
      </c>
      <c r="D17">
        <f t="shared" si="4"/>
        <v>113.33333333333337</v>
      </c>
      <c r="E17">
        <f t="shared" si="4"/>
        <v>-12.666666666666629</v>
      </c>
      <c r="F17">
        <f t="shared" si="4"/>
        <v>2</v>
      </c>
      <c r="G17">
        <f t="shared" si="4"/>
        <v>44.666666666666742</v>
      </c>
      <c r="H17">
        <f t="shared" si="4"/>
        <v>245</v>
      </c>
      <c r="I17">
        <f t="shared" si="4"/>
        <v>8.6666666666667425</v>
      </c>
      <c r="J17">
        <f t="shared" si="4"/>
        <v>18</v>
      </c>
      <c r="K17">
        <f t="shared" si="4"/>
        <v>153.66666666666674</v>
      </c>
      <c r="P17" s="15" t="s">
        <v>28</v>
      </c>
      <c r="Q17">
        <v>2.5000000000000001E-3</v>
      </c>
      <c r="R17">
        <f>AVERAGE(I17:I20)</f>
        <v>7.5000000000000568</v>
      </c>
      <c r="S17">
        <f>_xlfn.STDEV.P(I17:I20)</f>
        <v>0.83333333333334947</v>
      </c>
    </row>
    <row r="18" spans="2:19" x14ac:dyDescent="0.3">
      <c r="B18">
        <f t="shared" ref="B18:K18" si="5">B7-$M$13</f>
        <v>0.33333333333337123</v>
      </c>
      <c r="C18">
        <f t="shared" si="5"/>
        <v>22.333333333333371</v>
      </c>
      <c r="D18">
        <f t="shared" si="5"/>
        <v>114.33333333333337</v>
      </c>
      <c r="E18">
        <f t="shared" si="5"/>
        <v>-12.333333333333258</v>
      </c>
      <c r="F18">
        <f t="shared" si="5"/>
        <v>0.33333333333337123</v>
      </c>
      <c r="G18">
        <f t="shared" si="5"/>
        <v>46.666666666666742</v>
      </c>
      <c r="H18">
        <f t="shared" si="5"/>
        <v>264.33333333333337</v>
      </c>
      <c r="I18">
        <f t="shared" si="5"/>
        <v>7.3333333333333712</v>
      </c>
      <c r="J18">
        <f t="shared" si="5"/>
        <v>22.666666666666742</v>
      </c>
      <c r="K18">
        <f t="shared" si="5"/>
        <v>161</v>
      </c>
      <c r="P18" s="15" t="s">
        <v>28</v>
      </c>
      <c r="Q18">
        <v>5.0000000000000001E-3</v>
      </c>
      <c r="R18">
        <f>AVERAGE(J13:J16)</f>
        <v>16.833333333333371</v>
      </c>
      <c r="S18">
        <f>_xlfn.STDEV.P(J13:J16)</f>
        <v>4.3748015828022258</v>
      </c>
    </row>
    <row r="19" spans="2:19" x14ac:dyDescent="0.3">
      <c r="B19">
        <f t="shared" ref="B19:K19" si="6">B8-$M$13</f>
        <v>-1.3333333333332575</v>
      </c>
      <c r="C19">
        <f t="shared" si="6"/>
        <v>24</v>
      </c>
      <c r="D19">
        <f t="shared" si="6"/>
        <v>135.66666666666674</v>
      </c>
      <c r="E19">
        <f t="shared" si="6"/>
        <v>-10.333333333333258</v>
      </c>
      <c r="F19">
        <f t="shared" si="6"/>
        <v>1</v>
      </c>
      <c r="G19">
        <f t="shared" si="6"/>
        <v>36.666666666666742</v>
      </c>
      <c r="H19">
        <f t="shared" si="6"/>
        <v>242.33333333333337</v>
      </c>
      <c r="I19">
        <f t="shared" si="6"/>
        <v>7.6666666666667425</v>
      </c>
      <c r="J19">
        <f t="shared" si="6"/>
        <v>22.666666666666742</v>
      </c>
      <c r="K19">
        <f t="shared" si="6"/>
        <v>160.66666666666674</v>
      </c>
      <c r="P19" s="15" t="s">
        <v>28</v>
      </c>
      <c r="Q19">
        <v>0.01</v>
      </c>
      <c r="R19">
        <f>AVERAGE(J17:J20)</f>
        <v>20.750000000000057</v>
      </c>
      <c r="S19">
        <f>_xlfn.STDEV.P(J17:J20)</f>
        <v>2.0052015692526868</v>
      </c>
    </row>
    <row r="20" spans="2:19" x14ac:dyDescent="0.3">
      <c r="B20">
        <f t="shared" ref="B20:K20" si="7">B9-$M$13</f>
        <v>5.6666666666667425</v>
      </c>
      <c r="C20">
        <f t="shared" si="7"/>
        <v>20.666666666666742</v>
      </c>
      <c r="D20">
        <f t="shared" si="7"/>
        <v>118</v>
      </c>
      <c r="E20">
        <f t="shared" si="7"/>
        <v>-16</v>
      </c>
      <c r="F20">
        <f t="shared" si="7"/>
        <v>-1.6666666666666288</v>
      </c>
      <c r="G20">
        <f t="shared" si="7"/>
        <v>16</v>
      </c>
      <c r="H20">
        <f t="shared" si="7"/>
        <v>221.66666666666674</v>
      </c>
      <c r="I20">
        <f t="shared" si="7"/>
        <v>6.3333333333333712</v>
      </c>
      <c r="J20">
        <f t="shared" si="7"/>
        <v>19.666666666666742</v>
      </c>
      <c r="K20">
        <f t="shared" si="7"/>
        <v>132</v>
      </c>
      <c r="P20" s="15" t="s">
        <v>28</v>
      </c>
      <c r="Q20">
        <v>0.02</v>
      </c>
      <c r="R20">
        <f>AVERAGE(K13:K16)</f>
        <v>53.916666666666742</v>
      </c>
      <c r="S20">
        <f>_xlfn.STDEV.P(K13:K16)</f>
        <v>4.6569840025492892</v>
      </c>
    </row>
    <row r="21" spans="2:19" x14ac:dyDescent="0.3">
      <c r="P21" s="15" t="s">
        <v>28</v>
      </c>
      <c r="Q21">
        <v>0.05</v>
      </c>
      <c r="R21">
        <f>AVERAGE(K17:K20)</f>
        <v>151.83333333333337</v>
      </c>
      <c r="S21">
        <f>_xlfn.STDEV.P(K17:K20)</f>
        <v>11.819240434327616</v>
      </c>
    </row>
    <row r="22" spans="2:19" x14ac:dyDescent="0.3">
      <c r="P22" s="15" t="s">
        <v>28</v>
      </c>
      <c r="Q22">
        <v>0.1</v>
      </c>
      <c r="R22">
        <f>AVERAGE(L13:L16)</f>
        <v>385.50000000000006</v>
      </c>
      <c r="S22">
        <f>_xlfn.STDEV.P(L13:L16)</f>
        <v>36.991365358838955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4B84-7106-4495-B17D-9E1AD26E106D}">
  <dimension ref="A1:D22"/>
  <sheetViews>
    <sheetView tabSelected="1" workbookViewId="0">
      <selection activeCell="H6" sqref="H6"/>
    </sheetView>
  </sheetViews>
  <sheetFormatPr defaultRowHeight="14.4" x14ac:dyDescent="0.3"/>
  <sheetData>
    <row r="1" spans="1:4" x14ac:dyDescent="0.3">
      <c r="A1" t="s">
        <v>22</v>
      </c>
      <c r="B1" t="s">
        <v>23</v>
      </c>
      <c r="C1" t="s">
        <v>24</v>
      </c>
      <c r="D1" t="s">
        <v>25</v>
      </c>
    </row>
    <row r="2" spans="1:4" x14ac:dyDescent="0.3">
      <c r="A2" t="s">
        <v>26</v>
      </c>
      <c r="B2">
        <v>0</v>
      </c>
      <c r="C2">
        <v>4.666666666666714</v>
      </c>
      <c r="D2">
        <v>10.466878978738395</v>
      </c>
    </row>
    <row r="3" spans="1:4" x14ac:dyDescent="0.3">
      <c r="A3" t="s">
        <v>26</v>
      </c>
      <c r="B3">
        <v>2.5000000000000001E-3</v>
      </c>
      <c r="C3">
        <v>1.0000000000000568</v>
      </c>
      <c r="D3">
        <v>2.7588242262078162</v>
      </c>
    </row>
    <row r="4" spans="1:4" x14ac:dyDescent="0.3">
      <c r="A4" t="s">
        <v>26</v>
      </c>
      <c r="B4">
        <v>5.0000000000000001E-3</v>
      </c>
      <c r="C4">
        <v>12.000000000000028</v>
      </c>
      <c r="D4">
        <v>7.7280154129130763</v>
      </c>
    </row>
    <row r="5" spans="1:4" x14ac:dyDescent="0.3">
      <c r="A5" t="s">
        <v>26</v>
      </c>
      <c r="B5">
        <v>0.01</v>
      </c>
      <c r="C5">
        <v>20.583333333333371</v>
      </c>
      <c r="D5">
        <v>3.2521360501813046</v>
      </c>
    </row>
    <row r="6" spans="1:4" x14ac:dyDescent="0.3">
      <c r="A6" t="s">
        <v>26</v>
      </c>
      <c r="B6">
        <v>0.02</v>
      </c>
      <c r="C6">
        <v>48.916666666666714</v>
      </c>
      <c r="D6">
        <v>2.7726341266023637</v>
      </c>
    </row>
    <row r="7" spans="1:4" x14ac:dyDescent="0.3">
      <c r="A7" t="s">
        <v>26</v>
      </c>
      <c r="B7">
        <v>0.05</v>
      </c>
      <c r="C7">
        <v>120.33333333333337</v>
      </c>
      <c r="D7">
        <v>9.0215790684829233</v>
      </c>
    </row>
    <row r="8" spans="1:4" x14ac:dyDescent="0.3">
      <c r="A8" t="s">
        <v>26</v>
      </c>
      <c r="B8">
        <v>0.1</v>
      </c>
      <c r="C8">
        <v>277.41666666666669</v>
      </c>
      <c r="D8">
        <v>6.6431878224572722</v>
      </c>
    </row>
    <row r="9" spans="1:4" x14ac:dyDescent="0.3">
      <c r="A9" t="s">
        <v>27</v>
      </c>
      <c r="B9">
        <v>0</v>
      </c>
      <c r="C9">
        <v>-12.833333333333286</v>
      </c>
      <c r="D9">
        <v>2.0344259359556442</v>
      </c>
    </row>
    <row r="10" spans="1:4" x14ac:dyDescent="0.3">
      <c r="A10" t="s">
        <v>27</v>
      </c>
      <c r="B10">
        <v>2.5000000000000001E-3</v>
      </c>
      <c r="C10">
        <v>-0.24999999999997158</v>
      </c>
      <c r="D10">
        <v>1.8008485654145436</v>
      </c>
    </row>
    <row r="11" spans="1:4" x14ac:dyDescent="0.3">
      <c r="A11" t="s">
        <v>27</v>
      </c>
      <c r="B11">
        <v>5.0000000000000001E-3</v>
      </c>
      <c r="C11">
        <v>0.41666666666668561</v>
      </c>
      <c r="D11">
        <v>1.341123078285908</v>
      </c>
    </row>
    <row r="12" spans="1:4" x14ac:dyDescent="0.3">
      <c r="A12" t="s">
        <v>27</v>
      </c>
      <c r="B12">
        <v>0.01</v>
      </c>
      <c r="C12">
        <v>13.750000000000028</v>
      </c>
      <c r="D12">
        <v>3.0402393911590959</v>
      </c>
    </row>
    <row r="13" spans="1:4" x14ac:dyDescent="0.3">
      <c r="A13" t="s">
        <v>27</v>
      </c>
      <c r="B13">
        <v>0.02</v>
      </c>
      <c r="C13">
        <v>36.000000000000057</v>
      </c>
      <c r="D13">
        <v>12.138094304022108</v>
      </c>
    </row>
    <row r="14" spans="1:4" x14ac:dyDescent="0.3">
      <c r="A14" t="s">
        <v>27</v>
      </c>
      <c r="B14">
        <v>0.05</v>
      </c>
      <c r="C14">
        <v>105.66666666666674</v>
      </c>
      <c r="D14">
        <v>8.7464278422679502</v>
      </c>
    </row>
    <row r="15" spans="1:4" x14ac:dyDescent="0.3">
      <c r="A15" t="s">
        <v>27</v>
      </c>
      <c r="B15">
        <v>0.1</v>
      </c>
      <c r="C15">
        <v>243.33333333333337</v>
      </c>
      <c r="D15">
        <v>15.118053960598074</v>
      </c>
    </row>
    <row r="16" spans="1:4" x14ac:dyDescent="0.3">
      <c r="A16" t="s">
        <v>28</v>
      </c>
      <c r="B16">
        <v>0</v>
      </c>
      <c r="C16">
        <v>6.166666666666714</v>
      </c>
      <c r="D16">
        <v>8.6200670273238593</v>
      </c>
    </row>
    <row r="17" spans="1:4" x14ac:dyDescent="0.3">
      <c r="A17" t="s">
        <v>28</v>
      </c>
      <c r="B17">
        <v>2.5000000000000001E-3</v>
      </c>
      <c r="C17">
        <v>7.5000000000000568</v>
      </c>
      <c r="D17">
        <v>0.83333333333334947</v>
      </c>
    </row>
    <row r="18" spans="1:4" x14ac:dyDescent="0.3">
      <c r="A18" t="s">
        <v>28</v>
      </c>
      <c r="B18">
        <v>5.0000000000000001E-3</v>
      </c>
      <c r="C18">
        <v>16.833333333333371</v>
      </c>
      <c r="D18">
        <v>4.3748015828022258</v>
      </c>
    </row>
    <row r="19" spans="1:4" x14ac:dyDescent="0.3">
      <c r="A19" t="s">
        <v>28</v>
      </c>
      <c r="B19">
        <v>0.01</v>
      </c>
      <c r="C19">
        <v>20.750000000000057</v>
      </c>
      <c r="D19">
        <v>2.0052015692526868</v>
      </c>
    </row>
    <row r="20" spans="1:4" x14ac:dyDescent="0.3">
      <c r="A20" t="s">
        <v>28</v>
      </c>
      <c r="B20">
        <v>0.02</v>
      </c>
      <c r="C20">
        <v>53.916666666666742</v>
      </c>
      <c r="D20">
        <v>4.6569840025492892</v>
      </c>
    </row>
    <row r="21" spans="1:4" x14ac:dyDescent="0.3">
      <c r="A21" t="s">
        <v>28</v>
      </c>
      <c r="B21">
        <v>0.05</v>
      </c>
      <c r="C21">
        <v>151.83333333333337</v>
      </c>
      <c r="D21">
        <v>11.819240434327616</v>
      </c>
    </row>
    <row r="22" spans="1:4" x14ac:dyDescent="0.3">
      <c r="A22" t="s">
        <v>28</v>
      </c>
      <c r="B22">
        <v>0.1</v>
      </c>
      <c r="C22">
        <v>385.50000000000006</v>
      </c>
      <c r="D22">
        <v>36.991365358838955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R1</vt:lpstr>
      <vt:lpstr>R2</vt:lpstr>
      <vt:lpstr>R3</vt:lpstr>
      <vt:lpstr>Results</vt:lpstr>
      <vt:lpstr>Plots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BlerisLab</dc:creator>
  <cp:lastModifiedBy>Zhou, Zikun</cp:lastModifiedBy>
  <dcterms:created xsi:type="dcterms:W3CDTF">2025-08-01T19:45:39Z</dcterms:created>
  <dcterms:modified xsi:type="dcterms:W3CDTF">2025-08-04T14:58:33Z</dcterms:modified>
</cp:coreProperties>
</file>